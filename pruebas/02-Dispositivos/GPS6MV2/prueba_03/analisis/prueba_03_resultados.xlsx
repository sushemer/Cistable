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Fuentes" sheetId="2" state="visible" r:id="rId2"/>
    <sheet name="ventana_00_GPS" sheetId="3" state="visible" r:id="rId3"/>
    <sheet name="ventana_00_IMU" sheetId="4" state="visible" r:id="rId4"/>
    <sheet name="ventana_00_Eventos" sheetId="5" state="visible" r:id="rId5"/>
  </sheets>
  <definedNames>
    <definedName name="_xlnm._FilterDatabase" localSheetId="0" hidden="1">'Resumen'!$A$6:$Q$7</definedName>
    <definedName name="_xlnm._FilterDatabase" localSheetId="2" hidden="1">'ventana_00_GPS'!$A$10:$Z$34</definedName>
    <definedName name="_xlnm._FilterDatabase" localSheetId="3" hidden="1">'ventana_00_IMU'!$A$10:$N$127</definedName>
    <definedName name="_xlnm._FilterDatabase" localSheetId="4" hidden="1">'ventana_00_Eventos'!$A$10:$B$10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4" fillId="3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Velocidad RMC con fix</a:t>
            </a:r>
          </a:p>
        </rich>
      </tx>
    </title>
    <plotArea>
      <lineChart>
        <grouping val="standard"/>
        <ser>
          <idx val="0"/>
          <order val="0"/>
          <tx>
            <strRef>
              <f>'ventana_00_GPS'!Y10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'ventana_00_GPS'!$B$11:$B$34</f>
            </numRef>
          </cat>
          <val>
            <numRef>
              <f>'ventana_00_GPS'!$Y$11:$Y$34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 ESP32 (µs)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km/h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Aceleración lineal</a:t>
            </a:r>
          </a:p>
        </rich>
      </tx>
    </title>
    <plotArea>
      <lineChart>
        <grouping val="standard"/>
        <ser>
          <idx val="0"/>
          <order val="0"/>
          <tx>
            <strRef>
              <f>'ventana_00_IMU'!L10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'ventana_00_IMU'!$K$11:$K$127</f>
            </numRef>
          </cat>
          <val>
            <numRef>
              <f>'ventana_00_IMU'!$L$11:$L$127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 desde inicio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m/s²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Velocidad angular giroscopio</a:t>
            </a:r>
          </a:p>
        </rich>
      </tx>
    </title>
    <plotArea>
      <lineChart>
        <grouping val="standard"/>
        <ser>
          <idx val="0"/>
          <order val="0"/>
          <tx>
            <strRef>
              <f>'ventana_00_IMU'!M10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'ventana_00_IMU'!$K$11:$K$127</f>
            </numRef>
          </cat>
          <val>
            <numRef>
              <f>'ventana_00_IMU'!$M$11:$M$127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Tiempo desde inicio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rad/s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Resultados consolidados — prueba_03</t>
        </is>
      </c>
    </row>
    <row r="2" ht="34" customHeight="1">
      <c r="A2" s="2" t="inlineStr">
        <is>
          <t>Las métricas y totales se calculan mediante fórmulas internas con rangos explícitos; los datos originales se conservan en las hojas por prueba.</t>
        </is>
      </c>
    </row>
    <row r="6">
      <c r="A6" s="3" t="inlineStr">
        <is>
          <t>N.º</t>
        </is>
      </c>
      <c r="B6" s="3" t="inlineStr">
        <is>
          <t>Archivo original</t>
        </is>
      </c>
      <c r="C6" s="3" t="inlineStr">
        <is>
          <t>GPS: filas</t>
        </is>
      </c>
      <c r="D6" s="3" t="inlineStr">
        <is>
          <t>GPS: RMC con fix</t>
        </is>
      </c>
      <c r="E6" s="3" t="inlineStr">
        <is>
          <t>GPS: velocidades RMC</t>
        </is>
      </c>
      <c r="F6" s="3" t="inlineStr">
        <is>
          <t>GPS: media km/h</t>
        </is>
      </c>
      <c r="G6" s="3" t="inlineStr">
        <is>
          <t>GPS: máximo km/h</t>
        </is>
      </c>
      <c r="H6" s="3" t="inlineStr">
        <is>
          <t>GPS: aceptadas firmware</t>
        </is>
      </c>
      <c r="I6" s="3" t="inlineStr">
        <is>
          <t>IMU: muestras</t>
        </is>
      </c>
      <c r="J6" s="3" t="inlineStr">
        <is>
          <t>IMU: aceleración muestras</t>
        </is>
      </c>
      <c r="K6" s="3" t="inlineStr">
        <is>
          <t>IMU: aceleración media m/s²</t>
        </is>
      </c>
      <c r="L6" s="3" t="inlineStr">
        <is>
          <t>IMU: giroscopio muestras</t>
        </is>
      </c>
      <c r="M6" s="3" t="inlineStr">
        <is>
          <t>IMU: giro medio rad/s</t>
        </is>
      </c>
      <c r="N6" s="3" t="inlineStr">
        <is>
          <t>IMU: cuaterniones</t>
        </is>
      </c>
      <c r="O6" s="3" t="inlineStr">
        <is>
          <t>GPS: duración s</t>
        </is>
      </c>
      <c r="P6" s="3" t="inlineStr">
        <is>
          <t>IMU: duración s</t>
        </is>
      </c>
      <c r="Q6" s="3" t="inlineStr">
        <is>
          <t>Eventos</t>
        </is>
      </c>
    </row>
    <row r="7">
      <c r="A7" t="n">
        <v>1</v>
      </c>
      <c r="B7" t="inlineStr">
        <is>
          <t>prueba_03_ventana_00.xlsx</t>
        </is>
      </c>
      <c r="C7">
        <f>IFERROR('ventana_00_GPS'!A4,0)</f>
        <v/>
      </c>
      <c r="D7">
        <f>IFERROR('ventana_00_GPS'!C4,0)</f>
        <v/>
      </c>
      <c r="E7">
        <f>IFERROR('ventana_00_GPS'!D4,0)</f>
        <v/>
      </c>
      <c r="F7">
        <f>IFERROR('ventana_00_GPS'!E4,0)</f>
        <v/>
      </c>
      <c r="G7">
        <f>IFERROR('ventana_00_GPS'!F4,0)</f>
        <v/>
      </c>
      <c r="H7">
        <f>IFERROR('ventana_00_GPS'!G4,0)</f>
        <v/>
      </c>
      <c r="I7">
        <f>IFERROR('ventana_00_IMU'!A4,0)</f>
        <v/>
      </c>
      <c r="J7">
        <f>IFERROR('ventana_00_IMU'!B4,0)</f>
        <v/>
      </c>
      <c r="K7">
        <f>IFERROR('ventana_00_IMU'!E4,0)</f>
        <v/>
      </c>
      <c r="L7">
        <f>IFERROR('ventana_00_IMU'!C4,0)</f>
        <v/>
      </c>
      <c r="M7">
        <f>IFERROR('ventana_00_IMU'!F4,0)</f>
        <v/>
      </c>
      <c r="N7">
        <f>IFERROR('ventana_00_IMU'!D4,0)</f>
        <v/>
      </c>
      <c r="O7">
        <f>IFERROR('ventana_00_GPS'!H4,0)</f>
        <v/>
      </c>
      <c r="P7">
        <f>IFERROR('ventana_00_IMU'!H4,0)</f>
        <v/>
      </c>
      <c r="Q7">
        <f>IFERROR('ventana_00_Eventos'!B3,0)</f>
        <v/>
      </c>
    </row>
    <row r="8">
      <c r="A8" s="4" t="n"/>
      <c r="B8" s="4" t="inlineStr">
        <is>
          <t>TOTAL / CONSOLIDADO</t>
        </is>
      </c>
      <c r="C8" s="4">
        <f>SUM(C7:C7)</f>
        <v/>
      </c>
      <c r="D8" s="4">
        <f>SUM(D7:D7)</f>
        <v/>
      </c>
      <c r="E8" s="4">
        <f>SUM(E7:E7)</f>
        <v/>
      </c>
      <c r="F8" s="4">
        <f>IFERROR(SUMPRODUCT(E7:E7,F7:F7)/SUM(E7:E7),"")</f>
        <v/>
      </c>
      <c r="G8" s="4">
        <f>IF(COUNT(G7:G7)=0,"",MAX(G7:G7))</f>
        <v/>
      </c>
      <c r="H8" s="4">
        <f>SUM(H7:H7)</f>
        <v/>
      </c>
      <c r="I8" s="4">
        <f>SUM(I7:I7)</f>
        <v/>
      </c>
      <c r="J8" s="4">
        <f>SUM(J7:J7)</f>
        <v/>
      </c>
      <c r="K8" s="4">
        <f>IFERROR(SUMPRODUCT(J7:J7,K7:K7)/SUM(J7:J7),"")</f>
        <v/>
      </c>
      <c r="L8" s="4">
        <f>SUM(L7:L7)</f>
        <v/>
      </c>
      <c r="M8" s="4">
        <f>IFERROR(SUMPRODUCT(L7:L7,M7:M7)/SUM(L7:L7),"")</f>
        <v/>
      </c>
      <c r="N8" s="4">
        <f>SUM(N7:N7)</f>
        <v/>
      </c>
      <c r="O8" s="4">
        <f>SUM(O7:O7)</f>
        <v/>
      </c>
      <c r="P8" s="4">
        <f>SUM(P7:P7)</f>
        <v/>
      </c>
      <c r="Q8" s="4">
        <f>SUM(Q7:Q7)</f>
        <v/>
      </c>
    </row>
  </sheetData>
  <autoFilter ref="A6:Q7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45" customWidth="1" min="3" max="3"/>
    <col width="75" customWidth="1" min="4" max="4"/>
  </cols>
  <sheetData>
    <row r="1">
      <c r="A1" s="3" t="inlineStr">
        <is>
          <t>Archivo de entrada</t>
        </is>
      </c>
      <c r="B1" s="3" t="inlineStr">
        <is>
          <t>Estado</t>
        </is>
      </c>
      <c r="C1" s="3" t="inlineStr">
        <is>
          <t>Hojas importadas</t>
        </is>
      </c>
      <c r="D1" s="3" t="inlineStr">
        <is>
          <t>Nota</t>
        </is>
      </c>
    </row>
    <row r="2">
      <c r="A2" t="inlineStr">
        <is>
          <t>prueba_03_ventana_00.xlsx</t>
        </is>
      </c>
      <c r="B2" t="inlineStr">
        <is>
          <t>Importado</t>
        </is>
      </c>
      <c r="C2" t="inlineStr">
        <is>
          <t>ventana_00_GPS, ventana_00_IMU, ventana_00_Eventos</t>
        </is>
      </c>
      <c r="D2" t="inlineStr">
        <is>
          <t>Se copiaron los valores de origen; el archivo original permanece intacto.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</cols>
  <sheetData>
    <row r="1">
      <c r="A1" s="5" t="inlineStr">
        <is>
          <t>GPS — prueba_03_ventana_00.xlsx</t>
        </is>
      </c>
    </row>
    <row r="3">
      <c r="A3" s="3" t="inlineStr">
        <is>
          <t>Registros GPS</t>
        </is>
      </c>
      <c r="B3" s="3" t="inlineStr">
        <is>
          <t>Registros RMC</t>
        </is>
      </c>
      <c r="C3" s="3" t="inlineStr">
        <is>
          <t>RMC con fix válido</t>
        </is>
      </c>
      <c r="D3" s="3" t="inlineStr">
        <is>
          <t>Velocidades RMC válidas</t>
        </is>
      </c>
      <c r="E3" s="3" t="inlineStr">
        <is>
          <t>Promedio (km/h)</t>
        </is>
      </c>
      <c r="F3" s="3" t="inlineStr">
        <is>
          <t>Máximo (km/h)</t>
        </is>
      </c>
      <c r="G3" s="3" t="inlineStr">
        <is>
          <t>Velocidades aceptadas</t>
        </is>
      </c>
      <c r="H3" s="3" t="inlineStr">
        <is>
          <t>Duración GPS (s)</t>
        </is>
      </c>
    </row>
    <row r="4">
      <c r="A4" s="6">
        <f>COUNTA($C$11:$C$34)</f>
        <v/>
      </c>
      <c r="B4" s="6">
        <f>COUNTIF($C$11:$C$34,"*RMC")</f>
        <v/>
      </c>
      <c r="C4" s="6">
        <f>COUNTIF(X$11:X$34,1)</f>
        <v/>
      </c>
      <c r="D4" s="6">
        <f>COUNT(Y$11:Y$34)</f>
        <v/>
      </c>
      <c r="E4" s="6">
        <f>IFERROR(AVERAGE(Y$11:Y$34),"")</f>
        <v/>
      </c>
      <c r="F4" s="6">
        <f>IF(COUNT(Y$11:Y$34)=0,"",MAX(Y$11:Y$34))</f>
        <v/>
      </c>
      <c r="G4" s="6">
        <f>COUNT(Z$11:Z$34)</f>
        <v/>
      </c>
      <c r="H4" s="6">
        <f>IFERROR((MAX($B$11:$B$34)-MIN($B$11:$B$34))/1000000,0)</f>
        <v/>
      </c>
    </row>
    <row r="10">
      <c r="A10" s="3" t="inlineStr">
        <is>
          <t>hora_pc</t>
        </is>
      </c>
      <c r="B10" s="3" t="inlineStr">
        <is>
          <t>uptime_esp_us</t>
        </is>
      </c>
      <c r="C10" s="3" t="inlineStr">
        <is>
          <t>tipo</t>
        </is>
      </c>
      <c r="D10" s="3" t="inlineStr">
        <is>
          <t>checksum_valido</t>
        </is>
      </c>
      <c r="E10" s="3" t="inlineStr">
        <is>
          <t>parse_valido</t>
        </is>
      </c>
      <c r="F10" s="3" t="inlineStr">
        <is>
          <t>hora_gps_ms</t>
        </is>
      </c>
      <c r="G10" s="3" t="inlineStr">
        <is>
          <t>rmc_valido</t>
        </is>
      </c>
      <c r="H10" s="3" t="inlineStr">
        <is>
          <t>calidad_fix</t>
        </is>
      </c>
      <c r="I10" s="3" t="inlineStr">
        <is>
          <t>desfase_rmc_gga_ms</t>
        </is>
      </c>
      <c r="J10" s="3" t="inlineStr">
        <is>
          <t>latitud_deg</t>
        </is>
      </c>
      <c r="K10" s="3" t="inlineStr">
        <is>
          <t>longitud_deg</t>
        </is>
      </c>
      <c r="L10" s="3" t="inlineStr">
        <is>
          <t>velocidad_nudos</t>
        </is>
      </c>
      <c r="M10" s="3" t="inlineStr">
        <is>
          <t>velocidad_kmh</t>
        </is>
      </c>
      <c r="N10" s="3" t="inlineStr">
        <is>
          <t>rumbo_deg</t>
        </is>
      </c>
      <c r="O10" s="3" t="inlineStr">
        <is>
          <t>satelites</t>
        </is>
      </c>
      <c r="P10" s="3" t="inlineStr">
        <is>
          <t>hdop</t>
        </is>
      </c>
      <c r="Q10" s="3" t="inlineStr">
        <is>
          <t>edad_rmc_ms</t>
        </is>
      </c>
      <c r="R10" s="3" t="inlineStr">
        <is>
          <t>edad_gga_ms</t>
        </is>
      </c>
      <c r="S10" s="3" t="inlineStr">
        <is>
          <t>estado_gps</t>
        </is>
      </c>
      <c r="T10" s="3" t="inlineStr">
        <is>
          <t>estado_velocidad</t>
        </is>
      </c>
      <c r="U10" s="3" t="inlineStr">
        <is>
          <t>velocidad_utilizable</t>
        </is>
      </c>
      <c r="V10" s="3" t="inlineStr">
        <is>
          <t>nmea_crudo</t>
        </is>
      </c>
      <c r="W10" s="3" t="inlineStr">
        <is>
          <t>linea_serial</t>
        </is>
      </c>
      <c r="X10" s="3" t="inlineStr">
        <is>
          <t>RMC_fix_valido</t>
        </is>
      </c>
      <c r="Y10" s="3" t="inlineStr">
        <is>
          <t>velocidad_RMC_con_fix_kmh</t>
        </is>
      </c>
      <c r="Z10" s="3" t="inlineStr">
        <is>
          <t>velocidad_aceptada_firmware_kmh</t>
        </is>
      </c>
    </row>
    <row r="11">
      <c r="A11" t="inlineStr">
        <is>
          <t>2026-10-18T16:15:50.297-07:00</t>
        </is>
      </c>
      <c r="B11" t="n">
        <v>382238689</v>
      </c>
      <c r="C11" t="inlineStr">
        <is>
          <t>GPRMC</t>
        </is>
      </c>
      <c r="D11" t="n">
        <v>1</v>
      </c>
      <c r="E11" t="n">
        <v>0</v>
      </c>
      <c r="F11" t="n">
        <v>-1</v>
      </c>
      <c r="G11" t="n">
        <v>0</v>
      </c>
      <c r="H11" t="n">
        <v>0</v>
      </c>
      <c r="I11" t="n">
        <v>-1</v>
      </c>
      <c r="O11" t="n">
        <v>0</v>
      </c>
      <c r="P11" t="n">
        <v>99.98999999999999</v>
      </c>
      <c r="Q11" t="n">
        <v>4294967295</v>
      </c>
      <c r="R11" t="n">
        <v>4294967295</v>
      </c>
      <c r="S11" t="inlineStr">
        <is>
          <t>SIN_DATOS</t>
        </is>
      </c>
      <c r="T11" t="inlineStr">
        <is>
          <t>SIN_FILTRO</t>
        </is>
      </c>
      <c r="U11" t="n">
        <v>0</v>
      </c>
      <c r="V11" t="inlineStr">
        <is>
          <t>$GPRMC,,V,,,,,,,,,,N*53</t>
        </is>
      </c>
      <c r="W11" t="inlineStr">
        <is>
          <t>I (382503) GPS: GPSDIAG|1|382238689|GPRMC|1|0|-1|0|0|-1|nan|nan|nan|nan|nan|0|99.99|4294967295|4294967295|SIN_DATOS|SIN_FILTRO|0|nan|nan|nan|nan|$GPRMC,,V,,,,,,,,,,N*53</t>
        </is>
      </c>
      <c r="X11">
        <f>IF(AND(OR($C11="GPRMC",$C11="GNRMC"),OR($D11=1,$D11=TRUE),OR($E11=1,$E11=TRUE),OR($G11=1,$G11=TRUE)),1,0)</f>
        <v/>
      </c>
      <c r="Y11">
        <f>IF(AND(AND(OR($C11="GPRMC",$C11="GNRMC"),OR($D11=1,$D11=TRUE),OR($E11=1,$E11=TRUE),OR($G11=1,$G11=TRUE)),ISNUMBER($M11)),$M11,"")</f>
        <v/>
      </c>
      <c r="Z11">
        <f>IF(AND(AND(OR($C11="GPRMC",$C11="GNRMC"),OR($D11=1,$D11=TRUE),OR($E11=1,$E11=TRUE),OR($G11=1,$G11=TRUE)),OR($U11=1,$U11=TRUE),ISNUMBER($M11)),$M11,"")</f>
        <v/>
      </c>
    </row>
    <row r="12">
      <c r="A12" t="inlineStr">
        <is>
          <t>2026-10-18T16:15:50.313-07:00</t>
        </is>
      </c>
      <c r="B12" t="n">
        <v>382244180</v>
      </c>
      <c r="C12" t="inlineStr">
        <is>
          <t>GPVTG</t>
        </is>
      </c>
      <c r="D12" t="n">
        <v>1</v>
      </c>
      <c r="E12" t="n">
        <v>0</v>
      </c>
      <c r="F12" t="n">
        <v>-1</v>
      </c>
      <c r="G12" t="n">
        <v>0</v>
      </c>
      <c r="H12" t="n">
        <v>0</v>
      </c>
      <c r="I12" t="n">
        <v>-1</v>
      </c>
      <c r="O12" t="n">
        <v>0</v>
      </c>
      <c r="P12" t="n">
        <v>99.98999999999999</v>
      </c>
      <c r="Q12" t="n">
        <v>4294967295</v>
      </c>
      <c r="R12" t="n">
        <v>4294967295</v>
      </c>
      <c r="S12" t="inlineStr">
        <is>
          <t>SIN_DATOS</t>
        </is>
      </c>
      <c r="T12" t="inlineStr">
        <is>
          <t>SIN_FILTRO</t>
        </is>
      </c>
      <c r="U12" t="n">
        <v>0</v>
      </c>
      <c r="V12" t="inlineStr">
        <is>
          <t>$GPVTG,,,,,,,,,N*30</t>
        </is>
      </c>
      <c r="W12" t="inlineStr">
        <is>
          <t>I (382513) GPS: GPSDIAG|1|382244180|GPVTG|1|0|-1|0|0|-1|nan|nan|nan|nan|nan|0|99.99|4294967295|4294967295|SIN_DATOS|SIN_FILTRO|0|nan|nan|nan|nan|$GPVTG,,,,,,,,,N*30</t>
        </is>
      </c>
      <c r="X12">
        <f>IF(AND(OR($C12="GPRMC",$C12="GNRMC"),OR($D12=1,$D12=TRUE),OR($E12=1,$E12=TRUE),OR($G12=1,$G12=TRUE)),1,0)</f>
        <v/>
      </c>
      <c r="Y12">
        <f>IF(AND(AND(OR($C12="GPRMC",$C12="GNRMC"),OR($D12=1,$D12=TRUE),OR($E12=1,$E12=TRUE),OR($G12=1,$G12=TRUE)),ISNUMBER($M12)),$M12,"")</f>
        <v/>
      </c>
      <c r="Z12">
        <f>IF(AND(AND(OR($C12="GPRMC",$C12="GNRMC"),OR($D12=1,$D12=TRUE),OR($E12=1,$E12=TRUE),OR($G12=1,$G12=TRUE)),OR($U12=1,$U12=TRUE),ISNUMBER($M12)),$M12,"")</f>
        <v/>
      </c>
    </row>
    <row r="13">
      <c r="A13" t="inlineStr">
        <is>
          <t>2026-10-18T16:15:50.325-07:00</t>
        </is>
      </c>
      <c r="B13" t="n">
        <v>382258806</v>
      </c>
      <c r="C13" t="inlineStr">
        <is>
          <t>GPGGA</t>
        </is>
      </c>
      <c r="D13" t="n">
        <v>1</v>
      </c>
      <c r="E13" t="n">
        <v>0</v>
      </c>
      <c r="F13" t="n">
        <v>-1</v>
      </c>
      <c r="G13" t="n">
        <v>0</v>
      </c>
      <c r="H13" t="n">
        <v>0</v>
      </c>
      <c r="I13" t="n">
        <v>-1</v>
      </c>
      <c r="O13" t="n">
        <v>0</v>
      </c>
      <c r="P13" t="n">
        <v>99.98999999999999</v>
      </c>
      <c r="Q13" t="n">
        <v>4294967295</v>
      </c>
      <c r="R13" t="n">
        <v>4294967295</v>
      </c>
      <c r="S13" t="inlineStr">
        <is>
          <t>SIN_DATOS</t>
        </is>
      </c>
      <c r="T13" t="inlineStr">
        <is>
          <t>SIN_FILTRO</t>
        </is>
      </c>
      <c r="U13" t="n">
        <v>0</v>
      </c>
      <c r="V13" t="inlineStr">
        <is>
          <t>$GPGGA,,,,,,0,00,99.99,,,,,,*48</t>
        </is>
      </c>
      <c r="W13" t="inlineStr">
        <is>
          <t>I (382523) GPS: GPSDIAG|1|382258806|GPGGA|1|0|-1|0|0|-1|nan|nan|nan|nan|nan|0|99.99|4294967295|4294967295|SIN_DATOS|SIN_FILTRO|0|nan|nan|nan|nan|$GPGGA,,,,,,0,00,99.99,,,,,,*48</t>
        </is>
      </c>
      <c r="X13">
        <f>IF(AND(OR($C13="GPRMC",$C13="GNRMC"),OR($D13=1,$D13=TRUE),OR($E13=1,$E13=TRUE),OR($G13=1,$G13=TRUE)),1,0)</f>
        <v/>
      </c>
      <c r="Y13">
        <f>IF(AND(AND(OR($C13="GPRMC",$C13="GNRMC"),OR($D13=1,$D13=TRUE),OR($E13=1,$E13=TRUE),OR($G13=1,$G13=TRUE)),ISNUMBER($M13)),$M13,"")</f>
        <v/>
      </c>
      <c r="Z13">
        <f>IF(AND(AND(OR($C13="GPRMC",$C13="GNRMC"),OR($D13=1,$D13=TRUE),OR($E13=1,$E13=TRUE),OR($G13=1,$G13=TRUE)),OR($U13=1,$U13=TRUE),ISNUMBER($M13)),$M13,"")</f>
        <v/>
      </c>
    </row>
    <row r="14">
      <c r="A14" t="inlineStr">
        <is>
          <t>2026-10-18T16:15:50.349-07:00</t>
        </is>
      </c>
      <c r="B14" t="n">
        <v>382292034</v>
      </c>
      <c r="C14" t="inlineStr">
        <is>
          <t>GPGSA</t>
        </is>
      </c>
      <c r="D14" t="n">
        <v>1</v>
      </c>
      <c r="E14" t="n">
        <v>0</v>
      </c>
      <c r="F14" t="n">
        <v>-1</v>
      </c>
      <c r="G14" t="n">
        <v>0</v>
      </c>
      <c r="H14" t="n">
        <v>0</v>
      </c>
      <c r="I14" t="n">
        <v>-1</v>
      </c>
      <c r="O14" t="n">
        <v>0</v>
      </c>
      <c r="P14" t="n">
        <v>99.98999999999999</v>
      </c>
      <c r="Q14" t="n">
        <v>4294967295</v>
      </c>
      <c r="R14" t="n">
        <v>4294967295</v>
      </c>
      <c r="S14" t="inlineStr">
        <is>
          <t>SIN_DATOS</t>
        </is>
      </c>
      <c r="T14" t="inlineStr">
        <is>
          <t>SIN_FILTRO</t>
        </is>
      </c>
      <c r="U14" t="n">
        <v>0</v>
      </c>
      <c r="V14" t="inlineStr">
        <is>
          <t>$GPGSA,A,1,,,,,,,,,,,,,99.99,99.99,99.99*30</t>
        </is>
      </c>
      <c r="W14" t="inlineStr">
        <is>
          <t>I (382563) GPS: GPSDIAG|1|382292034|GPGSA|1|0|-1|0|0|-1|nan|nan|nan|nan|nan|0|99.99|4294967295|4294967295|SIN_DATOS|SIN_FILTRO|0|nan|nan|nan|nan|$GPGSA,A,1,,,,,,,,,,,,,99.99,99.99,99.99*30</t>
        </is>
      </c>
      <c r="X14">
        <f>IF(AND(OR($C14="GPRMC",$C14="GNRMC"),OR($D14=1,$D14=TRUE),OR($E14=1,$E14=TRUE),OR($G14=1,$G14=TRUE)),1,0)</f>
        <v/>
      </c>
      <c r="Y14">
        <f>IF(AND(AND(OR($C14="GPRMC",$C14="GNRMC"),OR($D14=1,$D14=TRUE),OR($E14=1,$E14=TRUE),OR($G14=1,$G14=TRUE)),ISNUMBER($M14)),$M14,"")</f>
        <v/>
      </c>
      <c r="Z14">
        <f>IF(AND(AND(OR($C14="GPRMC",$C14="GNRMC"),OR($D14=1,$D14=TRUE),OR($E14=1,$E14=TRUE),OR($G14=1,$G14=TRUE)),OR($U14=1,$U14=TRUE),ISNUMBER($M14)),$M14,"")</f>
        <v/>
      </c>
    </row>
    <row r="15">
      <c r="A15" t="inlineStr">
        <is>
          <t>2026-10-18T16:15:50.366-07:00</t>
        </is>
      </c>
      <c r="B15" t="n">
        <v>382298170</v>
      </c>
      <c r="C15" t="inlineStr">
        <is>
          <t>GPGSV</t>
        </is>
      </c>
      <c r="D15" t="n">
        <v>1</v>
      </c>
      <c r="E15" t="n">
        <v>0</v>
      </c>
      <c r="F15" t="n">
        <v>-1</v>
      </c>
      <c r="G15" t="n">
        <v>0</v>
      </c>
      <c r="H15" t="n">
        <v>0</v>
      </c>
      <c r="I15" t="n">
        <v>-1</v>
      </c>
      <c r="O15" t="n">
        <v>0</v>
      </c>
      <c r="P15" t="n">
        <v>99.98999999999999</v>
      </c>
      <c r="Q15" t="n">
        <v>4294967295</v>
      </c>
      <c r="R15" t="n">
        <v>4294967295</v>
      </c>
      <c r="S15" t="inlineStr">
        <is>
          <t>SIN_DATOS</t>
        </is>
      </c>
      <c r="T15" t="inlineStr">
        <is>
          <t>SIN_FILTRO</t>
        </is>
      </c>
      <c r="U15" t="n">
        <v>0</v>
      </c>
      <c r="V15" t="inlineStr">
        <is>
          <t>$GPGSV,1,1,00*79</t>
        </is>
      </c>
      <c r="W15" t="inlineStr">
        <is>
          <t>I (382563) GPS: GPSDIAG|1|382298170|GPGSV|1|0|-1|0|0|-1|nan|nan|nan|nan|nan|0|99.99|4294967295|4294967295|SIN_DATOS|SIN_FILTRO|0|nan|nan|nan|nan|$GPGSV,1,1,00*79</t>
        </is>
      </c>
      <c r="X15">
        <f>IF(AND(OR($C15="GPRMC",$C15="GNRMC"),OR($D15=1,$D15=TRUE),OR($E15=1,$E15=TRUE),OR($G15=1,$G15=TRUE)),1,0)</f>
        <v/>
      </c>
      <c r="Y15">
        <f>IF(AND(AND(OR($C15="GPRMC",$C15="GNRMC"),OR($D15=1,$D15=TRUE),OR($E15=1,$E15=TRUE),OR($G15=1,$G15=TRUE)),ISNUMBER($M15)),$M15,"")</f>
        <v/>
      </c>
      <c r="Z15">
        <f>IF(AND(AND(OR($C15="GPRMC",$C15="GNRMC"),OR($D15=1,$D15=TRUE),OR($E15=1,$E15=TRUE),OR($G15=1,$G15=TRUE)),OR($U15=1,$U15=TRUE),ISNUMBER($M15)),$M15,"")</f>
        <v/>
      </c>
    </row>
    <row r="16">
      <c r="A16" t="inlineStr">
        <is>
          <t>2026-10-18T16:15:50.382-07:00</t>
        </is>
      </c>
      <c r="B16" t="n">
        <v>382312348</v>
      </c>
      <c r="C16" t="inlineStr">
        <is>
          <t>GPGLL</t>
        </is>
      </c>
      <c r="D16" t="n">
        <v>1</v>
      </c>
      <c r="E16" t="n">
        <v>0</v>
      </c>
      <c r="F16" t="n">
        <v>-1</v>
      </c>
      <c r="G16" t="n">
        <v>0</v>
      </c>
      <c r="H16" t="n">
        <v>0</v>
      </c>
      <c r="I16" t="n">
        <v>-1</v>
      </c>
      <c r="O16" t="n">
        <v>0</v>
      </c>
      <c r="P16" t="n">
        <v>99.98999999999999</v>
      </c>
      <c r="Q16" t="n">
        <v>4294967295</v>
      </c>
      <c r="R16" t="n">
        <v>4294967295</v>
      </c>
      <c r="S16" t="inlineStr">
        <is>
          <t>SIN_DATOS</t>
        </is>
      </c>
      <c r="T16" t="inlineStr">
        <is>
          <t>SIN_FILTRO</t>
        </is>
      </c>
      <c r="U16" t="n">
        <v>0</v>
      </c>
      <c r="V16" t="inlineStr">
        <is>
          <t>$GPGLL,,,,,,V,N*64</t>
        </is>
      </c>
      <c r="W16" t="inlineStr">
        <is>
          <t>I (382583) GPS: GPSDIAG|1|382312348|GPGLL|1|0|-1|0|0|-1|nan|nan|nan|nan|nan|0|99.99|4294967295|4294967295|SIN_DATOS|SIN_FILTRO|0|nan|nan|nan|nan|$GPGLL,,,,,,V,N*64</t>
        </is>
      </c>
      <c r="X16">
        <f>IF(AND(OR($C16="GPRMC",$C16="GNRMC"),OR($D16=1,$D16=TRUE),OR($E16=1,$E16=TRUE),OR($G16=1,$G16=TRUE)),1,0)</f>
        <v/>
      </c>
      <c r="Y16">
        <f>IF(AND(AND(OR($C16="GPRMC",$C16="GNRMC"),OR($D16=1,$D16=TRUE),OR($E16=1,$E16=TRUE),OR($G16=1,$G16=TRUE)),ISNUMBER($M16)),$M16,"")</f>
        <v/>
      </c>
      <c r="Z16">
        <f>IF(AND(AND(OR($C16="GPRMC",$C16="GNRMC"),OR($D16=1,$D16=TRUE),OR($E16=1,$E16=TRUE),OR($G16=1,$G16=TRUE)),OR($U16=1,$U16=TRUE),ISNUMBER($M16)),$M16,"")</f>
        <v/>
      </c>
    </row>
    <row r="17">
      <c r="A17" t="inlineStr">
        <is>
          <t>2026-10-18T16:15:51.297-07:00</t>
        </is>
      </c>
      <c r="B17" t="n">
        <v>383238647</v>
      </c>
      <c r="C17" t="inlineStr">
        <is>
          <t>GPRMC</t>
        </is>
      </c>
      <c r="D17" t="n">
        <v>1</v>
      </c>
      <c r="E17" t="n">
        <v>0</v>
      </c>
      <c r="F17" t="n">
        <v>-1</v>
      </c>
      <c r="G17" t="n">
        <v>0</v>
      </c>
      <c r="H17" t="n">
        <v>0</v>
      </c>
      <c r="I17" t="n">
        <v>-1</v>
      </c>
      <c r="O17" t="n">
        <v>0</v>
      </c>
      <c r="P17" t="n">
        <v>99.98999999999999</v>
      </c>
      <c r="Q17" t="n">
        <v>4294967295</v>
      </c>
      <c r="R17" t="n">
        <v>4294967295</v>
      </c>
      <c r="S17" t="inlineStr">
        <is>
          <t>SIN_DATOS</t>
        </is>
      </c>
      <c r="T17" t="inlineStr">
        <is>
          <t>SIN_FILTRO</t>
        </is>
      </c>
      <c r="U17" t="n">
        <v>0</v>
      </c>
      <c r="V17" t="inlineStr">
        <is>
          <t>$GPRMC,,V,,,,,,,,,,N*53</t>
        </is>
      </c>
      <c r="W17" t="inlineStr">
        <is>
          <t>I (383503) GPS: GPSDIAG|1|383238647|GPRMC|1|0|-1|0|0|-1|nan|nan|nan|nan|nan|0|99.99|4294967295|4294967295|SIN_DATOS|SIN_FILTRO|0|nan|nan|nan|nan|$GPRMC,,V,,,,,,,,,,N*53</t>
        </is>
      </c>
      <c r="X17">
        <f>IF(AND(OR($C17="GPRMC",$C17="GNRMC"),OR($D17=1,$D17=TRUE),OR($E17=1,$E17=TRUE),OR($G17=1,$G17=TRUE)),1,0)</f>
        <v/>
      </c>
      <c r="Y17">
        <f>IF(AND(AND(OR($C17="GPRMC",$C17="GNRMC"),OR($D17=1,$D17=TRUE),OR($E17=1,$E17=TRUE),OR($G17=1,$G17=TRUE)),ISNUMBER($M17)),$M17,"")</f>
        <v/>
      </c>
      <c r="Z17">
        <f>IF(AND(AND(OR($C17="GPRMC",$C17="GNRMC"),OR($D17=1,$D17=TRUE),OR($E17=1,$E17=TRUE),OR($G17=1,$G17=TRUE)),OR($U17=1,$U17=TRUE),ISNUMBER($M17)),$M17,"")</f>
        <v/>
      </c>
    </row>
    <row r="18">
      <c r="A18" t="inlineStr">
        <is>
          <t>2026-10-18T16:15:51.313-07:00</t>
        </is>
      </c>
      <c r="B18" t="n">
        <v>383244103</v>
      </c>
      <c r="C18" t="inlineStr">
        <is>
          <t>GPVTG</t>
        </is>
      </c>
      <c r="D18" t="n">
        <v>1</v>
      </c>
      <c r="E18" t="n">
        <v>0</v>
      </c>
      <c r="F18" t="n">
        <v>-1</v>
      </c>
      <c r="G18" t="n">
        <v>0</v>
      </c>
      <c r="H18" t="n">
        <v>0</v>
      </c>
      <c r="I18" t="n">
        <v>-1</v>
      </c>
      <c r="O18" t="n">
        <v>0</v>
      </c>
      <c r="P18" t="n">
        <v>99.98999999999999</v>
      </c>
      <c r="Q18" t="n">
        <v>4294967295</v>
      </c>
      <c r="R18" t="n">
        <v>4294967295</v>
      </c>
      <c r="S18" t="inlineStr">
        <is>
          <t>SIN_DATOS</t>
        </is>
      </c>
      <c r="T18" t="inlineStr">
        <is>
          <t>SIN_FILTRO</t>
        </is>
      </c>
      <c r="U18" t="n">
        <v>0</v>
      </c>
      <c r="V18" t="inlineStr">
        <is>
          <t>$GPVTG,,,,,,,,,N*30</t>
        </is>
      </c>
      <c r="W18" t="inlineStr">
        <is>
          <t>I (383513) GPS: GPSDIAG|1|383244103|GPVTG|1|0|-1|0|0|-1|nan|nan|nan|nan|nan|0|99.99|4294967295|4294967295|SIN_DATOS|SIN_FILTRO|0|nan|nan|nan|nan|$GPVTG,,,,,,,,,N*30</t>
        </is>
      </c>
      <c r="X18">
        <f>IF(AND(OR($C18="GPRMC",$C18="GNRMC"),OR($D18=1,$D18=TRUE),OR($E18=1,$E18=TRUE),OR($G18=1,$G18=TRUE)),1,0)</f>
        <v/>
      </c>
      <c r="Y18">
        <f>IF(AND(AND(OR($C18="GPRMC",$C18="GNRMC"),OR($D18=1,$D18=TRUE),OR($E18=1,$E18=TRUE),OR($G18=1,$G18=TRUE)),ISNUMBER($M18)),$M18,"")</f>
        <v/>
      </c>
      <c r="Z18">
        <f>IF(AND(AND(OR($C18="GPRMC",$C18="GNRMC"),OR($D18=1,$D18=TRUE),OR($E18=1,$E18=TRUE),OR($G18=1,$G18=TRUE)),OR($U18=1,$U18=TRUE),ISNUMBER($M18)),$M18,"")</f>
        <v/>
      </c>
    </row>
    <row r="19">
      <c r="A19" t="inlineStr">
        <is>
          <t>2026-10-18T16:15:51.325-07:00</t>
        </is>
      </c>
      <c r="B19" t="n">
        <v>383258729</v>
      </c>
      <c r="C19" t="inlineStr">
        <is>
          <t>GPGGA</t>
        </is>
      </c>
      <c r="D19" t="n">
        <v>1</v>
      </c>
      <c r="E19" t="n">
        <v>0</v>
      </c>
      <c r="F19" t="n">
        <v>-1</v>
      </c>
      <c r="G19" t="n">
        <v>0</v>
      </c>
      <c r="H19" t="n">
        <v>0</v>
      </c>
      <c r="I19" t="n">
        <v>-1</v>
      </c>
      <c r="O19" t="n">
        <v>0</v>
      </c>
      <c r="P19" t="n">
        <v>99.98999999999999</v>
      </c>
      <c r="Q19" t="n">
        <v>4294967295</v>
      </c>
      <c r="R19" t="n">
        <v>4294967295</v>
      </c>
      <c r="S19" t="inlineStr">
        <is>
          <t>SIN_DATOS</t>
        </is>
      </c>
      <c r="T19" t="inlineStr">
        <is>
          <t>SIN_FILTRO</t>
        </is>
      </c>
      <c r="U19" t="n">
        <v>0</v>
      </c>
      <c r="V19" t="inlineStr">
        <is>
          <t>$GPGGA,,,,,,0,00,99.99,,,,,,*48</t>
        </is>
      </c>
      <c r="W19" t="inlineStr">
        <is>
          <t>I (383523) GPS: GPSDIAG|1|383258729|GPGGA|1|0|-1|0|0|-1|nan|nan|nan|nan|nan|0|99.99|4294967295|4294967295|SIN_DATOS|SIN_FILTRO|0|nan|nan|nan|nan|$GPGGA,,,,,,0,00,99.99,,,,,,*48</t>
        </is>
      </c>
      <c r="X19">
        <f>IF(AND(OR($C19="GPRMC",$C19="GNRMC"),OR($D19=1,$D19=TRUE),OR($E19=1,$E19=TRUE),OR($G19=1,$G19=TRUE)),1,0)</f>
        <v/>
      </c>
      <c r="Y19">
        <f>IF(AND(AND(OR($C19="GPRMC",$C19="GNRMC"),OR($D19=1,$D19=TRUE),OR($E19=1,$E19=TRUE),OR($G19=1,$G19=TRUE)),ISNUMBER($M19)),$M19,"")</f>
        <v/>
      </c>
      <c r="Z19">
        <f>IF(AND(AND(OR($C19="GPRMC",$C19="GNRMC"),OR($D19=1,$D19=TRUE),OR($E19=1,$E19=TRUE),OR($G19=1,$G19=TRUE)),OR($U19=1,$U19=TRUE),ISNUMBER($M19)),$M19,"")</f>
        <v/>
      </c>
    </row>
    <row r="20">
      <c r="A20" t="inlineStr">
        <is>
          <t>2026-10-18T16:15:51.349-07:00</t>
        </is>
      </c>
      <c r="B20" t="n">
        <v>383291994</v>
      </c>
      <c r="C20" t="inlineStr">
        <is>
          <t>GPGSA</t>
        </is>
      </c>
      <c r="D20" t="n">
        <v>1</v>
      </c>
      <c r="E20" t="n">
        <v>0</v>
      </c>
      <c r="F20" t="n">
        <v>-1</v>
      </c>
      <c r="G20" t="n">
        <v>0</v>
      </c>
      <c r="H20" t="n">
        <v>0</v>
      </c>
      <c r="I20" t="n">
        <v>-1</v>
      </c>
      <c r="O20" t="n">
        <v>0</v>
      </c>
      <c r="P20" t="n">
        <v>99.98999999999999</v>
      </c>
      <c r="Q20" t="n">
        <v>4294967295</v>
      </c>
      <c r="R20" t="n">
        <v>4294967295</v>
      </c>
      <c r="S20" t="inlineStr">
        <is>
          <t>SIN_DATOS</t>
        </is>
      </c>
      <c r="T20" t="inlineStr">
        <is>
          <t>SIN_FILTRO</t>
        </is>
      </c>
      <c r="U20" t="n">
        <v>0</v>
      </c>
      <c r="V20" t="inlineStr">
        <is>
          <t>$GPGSA,A,1,,,,,,,,,,,,,99.99,99.99,99.99*30</t>
        </is>
      </c>
      <c r="W20" t="inlineStr">
        <is>
          <t>I (383563) GPS: GPSDIAG|1|383291994|GPGSA|1|0|-1|0|0|-1|nan|nan|nan|nan|nan|0|99.99|4294967295|4294967295|SIN_DATOS|SIN_FILTRO|0|nan|nan|nan|nan|$GPGSA,A,1,,,,,,,,,,,,,99.99,99.99,99.99*30</t>
        </is>
      </c>
      <c r="X20">
        <f>IF(AND(OR($C20="GPRMC",$C20="GNRMC"),OR($D20=1,$D20=TRUE),OR($E20=1,$E20=TRUE),OR($G20=1,$G20=TRUE)),1,0)</f>
        <v/>
      </c>
      <c r="Y20">
        <f>IF(AND(AND(OR($C20="GPRMC",$C20="GNRMC"),OR($D20=1,$D20=TRUE),OR($E20=1,$E20=TRUE),OR($G20=1,$G20=TRUE)),ISNUMBER($M20)),$M20,"")</f>
        <v/>
      </c>
      <c r="Z20">
        <f>IF(AND(AND(OR($C20="GPRMC",$C20="GNRMC"),OR($D20=1,$D20=TRUE),OR($E20=1,$E20=TRUE),OR($G20=1,$G20=TRUE)),OR($U20=1,$U20=TRUE),ISNUMBER($M20)),$M20,"")</f>
        <v/>
      </c>
    </row>
    <row r="21">
      <c r="A21" t="inlineStr">
        <is>
          <t>2026-10-18T16:15:51.366-07:00</t>
        </is>
      </c>
      <c r="B21" t="n">
        <v>383298131</v>
      </c>
      <c r="C21" t="inlineStr">
        <is>
          <t>GPGSV</t>
        </is>
      </c>
      <c r="D21" t="n">
        <v>1</v>
      </c>
      <c r="E21" t="n">
        <v>0</v>
      </c>
      <c r="F21" t="n">
        <v>-1</v>
      </c>
      <c r="G21" t="n">
        <v>0</v>
      </c>
      <c r="H21" t="n">
        <v>0</v>
      </c>
      <c r="I21" t="n">
        <v>-1</v>
      </c>
      <c r="O21" t="n">
        <v>0</v>
      </c>
      <c r="P21" t="n">
        <v>99.98999999999999</v>
      </c>
      <c r="Q21" t="n">
        <v>4294967295</v>
      </c>
      <c r="R21" t="n">
        <v>4294967295</v>
      </c>
      <c r="S21" t="inlineStr">
        <is>
          <t>SIN_DATOS</t>
        </is>
      </c>
      <c r="T21" t="inlineStr">
        <is>
          <t>SIN_FILTRO</t>
        </is>
      </c>
      <c r="U21" t="n">
        <v>0</v>
      </c>
      <c r="V21" t="inlineStr">
        <is>
          <t>$GPGSV,1,1,00*79</t>
        </is>
      </c>
      <c r="W21" t="inlineStr">
        <is>
          <t>I (383563) GPS: GPSDIAG|1|383298131|GPGSV|1|0|-1|0|0|-1|nan|nan|nan|nan|nan|0|99.99|4294967295|4294967295|SIN_DATOS|SIN_FILTRO|0|nan|nan|nan|nan|$GPGSV,1,1,00*79</t>
        </is>
      </c>
      <c r="X21">
        <f>IF(AND(OR($C21="GPRMC",$C21="GNRMC"),OR($D21=1,$D21=TRUE),OR($E21=1,$E21=TRUE),OR($G21=1,$G21=TRUE)),1,0)</f>
        <v/>
      </c>
      <c r="Y21">
        <f>IF(AND(AND(OR($C21="GPRMC",$C21="GNRMC"),OR($D21=1,$D21=TRUE),OR($E21=1,$E21=TRUE),OR($G21=1,$G21=TRUE)),ISNUMBER($M21)),$M21,"")</f>
        <v/>
      </c>
      <c r="Z21">
        <f>IF(AND(AND(OR($C21="GPRMC",$C21="GNRMC"),OR($D21=1,$D21=TRUE),OR($E21=1,$E21=TRUE),OR($G21=1,$G21=TRUE)),OR($U21=1,$U21=TRUE),ISNUMBER($M21)),$M21,"")</f>
        <v/>
      </c>
    </row>
    <row r="22">
      <c r="A22" t="inlineStr">
        <is>
          <t>2026-10-18T16:15:51.382-07:00</t>
        </is>
      </c>
      <c r="B22" t="n">
        <v>383312309</v>
      </c>
      <c r="C22" t="inlineStr">
        <is>
          <t>GPGLL</t>
        </is>
      </c>
      <c r="D22" t="n">
        <v>1</v>
      </c>
      <c r="E22" t="n">
        <v>0</v>
      </c>
      <c r="F22" t="n">
        <v>-1</v>
      </c>
      <c r="G22" t="n">
        <v>0</v>
      </c>
      <c r="H22" t="n">
        <v>0</v>
      </c>
      <c r="I22" t="n">
        <v>-1</v>
      </c>
      <c r="O22" t="n">
        <v>0</v>
      </c>
      <c r="P22" t="n">
        <v>99.98999999999999</v>
      </c>
      <c r="Q22" t="n">
        <v>4294967295</v>
      </c>
      <c r="R22" t="n">
        <v>4294967295</v>
      </c>
      <c r="S22" t="inlineStr">
        <is>
          <t>SIN_DATOS</t>
        </is>
      </c>
      <c r="T22" t="inlineStr">
        <is>
          <t>SIN_FILTRO</t>
        </is>
      </c>
      <c r="U22" t="n">
        <v>0</v>
      </c>
      <c r="V22" t="inlineStr">
        <is>
          <t>$GPGLL,,,,,,V,N*64</t>
        </is>
      </c>
      <c r="W22" t="inlineStr">
        <is>
          <t>I (383583) GPS: GPSDIAG|1|383312309|GPGLL|1|0|-1|0|0|-1|nan|nan|nan|nan|nan|0|99.99|4294967295|4294967295|SIN_DATOS|SIN_FILTRO|0|nan|nan|nan|nan|$GPGLL,,,,,,V,N*64</t>
        </is>
      </c>
      <c r="X22">
        <f>IF(AND(OR($C22="GPRMC",$C22="GNRMC"),OR($D22=1,$D22=TRUE),OR($E22=1,$E22=TRUE),OR($G22=1,$G22=TRUE)),1,0)</f>
        <v/>
      </c>
      <c r="Y22">
        <f>IF(AND(AND(OR($C22="GPRMC",$C22="GNRMC"),OR($D22=1,$D22=TRUE),OR($E22=1,$E22=TRUE),OR($G22=1,$G22=TRUE)),ISNUMBER($M22)),$M22,"")</f>
        <v/>
      </c>
      <c r="Z22">
        <f>IF(AND(AND(OR($C22="GPRMC",$C22="GNRMC"),OR($D22=1,$D22=TRUE),OR($E22=1,$E22=TRUE),OR($G22=1,$G22=TRUE)),OR($U22=1,$U22=TRUE),ISNUMBER($M22)),$M22,"")</f>
        <v/>
      </c>
    </row>
    <row r="23">
      <c r="A23" t="inlineStr">
        <is>
          <t>2026-10-18T16:15:52.297-07:00</t>
        </is>
      </c>
      <c r="B23" t="n">
        <v>384237868</v>
      </c>
      <c r="C23" t="inlineStr">
        <is>
          <t>GPRMC</t>
        </is>
      </c>
      <c r="D23" t="n">
        <v>1</v>
      </c>
      <c r="E23" t="n">
        <v>0</v>
      </c>
      <c r="F23" t="n">
        <v>-1</v>
      </c>
      <c r="G23" t="n">
        <v>0</v>
      </c>
      <c r="H23" t="n">
        <v>0</v>
      </c>
      <c r="I23" t="n">
        <v>-1</v>
      </c>
      <c r="O23" t="n">
        <v>0</v>
      </c>
      <c r="P23" t="n">
        <v>99.98999999999999</v>
      </c>
      <c r="Q23" t="n">
        <v>4294967295</v>
      </c>
      <c r="R23" t="n">
        <v>4294967295</v>
      </c>
      <c r="S23" t="inlineStr">
        <is>
          <t>SIN_DATOS</t>
        </is>
      </c>
      <c r="T23" t="inlineStr">
        <is>
          <t>SIN_FILTRO</t>
        </is>
      </c>
      <c r="U23" t="n">
        <v>0</v>
      </c>
      <c r="V23" t="inlineStr">
        <is>
          <t>$GPRMC,,V,,,,,,,,,,N*53</t>
        </is>
      </c>
      <c r="W23" t="inlineStr">
        <is>
          <t>I (384503) GPS: GPSDIAG|1|384237868|GPRMC|1|0|-1|0|0|-1|nan|nan|nan|nan|nan|0|99.99|4294967295|4294967295|SIN_DATOS|SIN_FILTRO|0|nan|nan|nan|nan|$GPRMC,,V,,,,,,,,,,N*53</t>
        </is>
      </c>
      <c r="X23">
        <f>IF(AND(OR($C23="GPRMC",$C23="GNRMC"),OR($D23=1,$D23=TRUE),OR($E23=1,$E23=TRUE),OR($G23=1,$G23=TRUE)),1,0)</f>
        <v/>
      </c>
      <c r="Y23">
        <f>IF(AND(AND(OR($C23="GPRMC",$C23="GNRMC"),OR($D23=1,$D23=TRUE),OR($E23=1,$E23=TRUE),OR($G23=1,$G23=TRUE)),ISNUMBER($M23)),$M23,"")</f>
        <v/>
      </c>
      <c r="Z23">
        <f>IF(AND(AND(OR($C23="GPRMC",$C23="GNRMC"),OR($D23=1,$D23=TRUE),OR($E23=1,$E23=TRUE),OR($G23=1,$G23=TRUE)),OR($U23=1,$U23=TRUE),ISNUMBER($M23)),$M23,"")</f>
        <v/>
      </c>
    </row>
    <row r="24">
      <c r="A24" t="inlineStr">
        <is>
          <t>2026-10-18T16:15:52.313-07:00</t>
        </is>
      </c>
      <c r="B24" t="n">
        <v>384244391</v>
      </c>
      <c r="C24" t="inlineStr">
        <is>
          <t>GPVTG</t>
        </is>
      </c>
      <c r="D24" t="n">
        <v>1</v>
      </c>
      <c r="E24" t="n">
        <v>0</v>
      </c>
      <c r="F24" t="n">
        <v>-1</v>
      </c>
      <c r="G24" t="n">
        <v>0</v>
      </c>
      <c r="H24" t="n">
        <v>0</v>
      </c>
      <c r="I24" t="n">
        <v>-1</v>
      </c>
      <c r="O24" t="n">
        <v>0</v>
      </c>
      <c r="P24" t="n">
        <v>99.98999999999999</v>
      </c>
      <c r="Q24" t="n">
        <v>4294967295</v>
      </c>
      <c r="R24" t="n">
        <v>4294967295</v>
      </c>
      <c r="S24" t="inlineStr">
        <is>
          <t>SIN_DATOS</t>
        </is>
      </c>
      <c r="T24" t="inlineStr">
        <is>
          <t>SIN_FILTRO</t>
        </is>
      </c>
      <c r="U24" t="n">
        <v>0</v>
      </c>
      <c r="V24" t="inlineStr">
        <is>
          <t>$GPVTG,,,,,,,,,N*30</t>
        </is>
      </c>
      <c r="W24" t="inlineStr">
        <is>
          <t>I (384513) GPS: GPSDIAG|1|384244391|GPVTG|1|0|-1|0|0|-1|nan|nan|nan|nan|nan|0|99.99|4294967295|4294967295|SIN_DATOS|SIN_FILTRO|0|nan|nan|nan|nan|$GPVTG,,,,,,,,,N*30</t>
        </is>
      </c>
      <c r="X24">
        <f>IF(AND(OR($C24="GPRMC",$C24="GNRMC"),OR($D24=1,$D24=TRUE),OR($E24=1,$E24=TRUE),OR($G24=1,$G24=TRUE)),1,0)</f>
        <v/>
      </c>
      <c r="Y24">
        <f>IF(AND(AND(OR($C24="GPRMC",$C24="GNRMC"),OR($D24=1,$D24=TRUE),OR($E24=1,$E24=TRUE),OR($G24=1,$G24=TRUE)),ISNUMBER($M24)),$M24,"")</f>
        <v/>
      </c>
      <c r="Z24">
        <f>IF(AND(AND(OR($C24="GPRMC",$C24="GNRMC"),OR($D24=1,$D24=TRUE),OR($E24=1,$E24=TRUE),OR($G24=1,$G24=TRUE)),OR($U24=1,$U24=TRUE),ISNUMBER($M24)),$M24,"")</f>
        <v/>
      </c>
    </row>
    <row r="25">
      <c r="A25" t="inlineStr">
        <is>
          <t>2026-10-18T16:15:52.325-07:00</t>
        </is>
      </c>
      <c r="B25" t="n">
        <v>384259017</v>
      </c>
      <c r="C25" t="inlineStr">
        <is>
          <t>GPGGA</t>
        </is>
      </c>
      <c r="D25" t="n">
        <v>1</v>
      </c>
      <c r="E25" t="n">
        <v>0</v>
      </c>
      <c r="F25" t="n">
        <v>-1</v>
      </c>
      <c r="G25" t="n">
        <v>0</v>
      </c>
      <c r="H25" t="n">
        <v>0</v>
      </c>
      <c r="I25" t="n">
        <v>-1</v>
      </c>
      <c r="O25" t="n">
        <v>0</v>
      </c>
      <c r="P25" t="n">
        <v>99.98999999999999</v>
      </c>
      <c r="Q25" t="n">
        <v>4294967295</v>
      </c>
      <c r="R25" t="n">
        <v>4294967295</v>
      </c>
      <c r="S25" t="inlineStr">
        <is>
          <t>SIN_DATOS</t>
        </is>
      </c>
      <c r="T25" t="inlineStr">
        <is>
          <t>SIN_FILTRO</t>
        </is>
      </c>
      <c r="U25" t="n">
        <v>0</v>
      </c>
      <c r="V25" t="inlineStr">
        <is>
          <t>$GPGGA,,,,,,0,00,99.99,,,,,,*48</t>
        </is>
      </c>
      <c r="W25" t="inlineStr">
        <is>
          <t>I (384523) GPS: GPSDIAG|1|384259017|GPGGA|1|0|-1|0|0|-1|nan|nan|nan|nan|nan|0|99.99|4294967295|4294967295|SIN_DATOS|SIN_FILTRO|0|nan|nan|nan|nan|$GPGGA,,,,,,0,00,99.99,,,,,,*48</t>
        </is>
      </c>
      <c r="X25">
        <f>IF(AND(OR($C25="GPRMC",$C25="GNRMC"),OR($D25=1,$D25=TRUE),OR($E25=1,$E25=TRUE),OR($G25=1,$G25=TRUE)),1,0)</f>
        <v/>
      </c>
      <c r="Y25">
        <f>IF(AND(AND(OR($C25="GPRMC",$C25="GNRMC"),OR($D25=1,$D25=TRUE),OR($E25=1,$E25=TRUE),OR($G25=1,$G25=TRUE)),ISNUMBER($M25)),$M25,"")</f>
        <v/>
      </c>
      <c r="Z25">
        <f>IF(AND(AND(OR($C25="GPRMC",$C25="GNRMC"),OR($D25=1,$D25=TRUE),OR($E25=1,$E25=TRUE),OR($G25=1,$G25=TRUE)),OR($U25=1,$U25=TRUE),ISNUMBER($M25)),$M25,"")</f>
        <v/>
      </c>
    </row>
    <row r="26">
      <c r="A26" t="inlineStr">
        <is>
          <t>2026-10-18T16:15:52.349-07:00</t>
        </is>
      </c>
      <c r="B26" t="n">
        <v>384291121</v>
      </c>
      <c r="C26" t="inlineStr">
        <is>
          <t>GPGSA</t>
        </is>
      </c>
      <c r="D26" t="n">
        <v>1</v>
      </c>
      <c r="E26" t="n">
        <v>0</v>
      </c>
      <c r="F26" t="n">
        <v>-1</v>
      </c>
      <c r="G26" t="n">
        <v>0</v>
      </c>
      <c r="H26" t="n">
        <v>0</v>
      </c>
      <c r="I26" t="n">
        <v>-1</v>
      </c>
      <c r="O26" t="n">
        <v>0</v>
      </c>
      <c r="P26" t="n">
        <v>99.98999999999999</v>
      </c>
      <c r="Q26" t="n">
        <v>4294967295</v>
      </c>
      <c r="R26" t="n">
        <v>4294967295</v>
      </c>
      <c r="S26" t="inlineStr">
        <is>
          <t>SIN_DATOS</t>
        </is>
      </c>
      <c r="T26" t="inlineStr">
        <is>
          <t>SIN_FILTRO</t>
        </is>
      </c>
      <c r="U26" t="n">
        <v>0</v>
      </c>
      <c r="V26" t="inlineStr">
        <is>
          <t>$GPGSA,A,1,,,,,,,,,,,,,99.99,99.99,99.99*30</t>
        </is>
      </c>
      <c r="W26" t="inlineStr">
        <is>
          <t>I (384563) GPS: GPSDIAG|1|384291121|GPGSA|1|0|-1|0|0|-1|nan|nan|nan|nan|nan|0|99.99|4294967295|4294967295|SIN_DATOS|SIN_FILTRO|0|nan|nan|nan|nan|$GPGSA,A,1,,,,,,,,,,,,,99.99,99.99,99.99*30</t>
        </is>
      </c>
      <c r="X26">
        <f>IF(AND(OR($C26="GPRMC",$C26="GNRMC"),OR($D26=1,$D26=TRUE),OR($E26=1,$E26=TRUE),OR($G26=1,$G26=TRUE)),1,0)</f>
        <v/>
      </c>
      <c r="Y26">
        <f>IF(AND(AND(OR($C26="GPRMC",$C26="GNRMC"),OR($D26=1,$D26=TRUE),OR($E26=1,$E26=TRUE),OR($G26=1,$G26=TRUE)),ISNUMBER($M26)),$M26,"")</f>
        <v/>
      </c>
      <c r="Z26">
        <f>IF(AND(AND(OR($C26="GPRMC",$C26="GNRMC"),OR($D26=1,$D26=TRUE),OR($E26=1,$E26=TRUE),OR($G26=1,$G26=TRUE)),OR($U26=1,$U26=TRUE),ISNUMBER($M26)),$M26,"")</f>
        <v/>
      </c>
    </row>
    <row r="27">
      <c r="A27" t="inlineStr">
        <is>
          <t>2026-10-18T16:15:52.365-07:00</t>
        </is>
      </c>
      <c r="B27" t="n">
        <v>384297257</v>
      </c>
      <c r="C27" t="inlineStr">
        <is>
          <t>GPGSV</t>
        </is>
      </c>
      <c r="D27" t="n">
        <v>1</v>
      </c>
      <c r="E27" t="n">
        <v>0</v>
      </c>
      <c r="F27" t="n">
        <v>-1</v>
      </c>
      <c r="G27" t="n">
        <v>0</v>
      </c>
      <c r="H27" t="n">
        <v>0</v>
      </c>
      <c r="I27" t="n">
        <v>-1</v>
      </c>
      <c r="O27" t="n">
        <v>0</v>
      </c>
      <c r="P27" t="n">
        <v>99.98999999999999</v>
      </c>
      <c r="Q27" t="n">
        <v>4294967295</v>
      </c>
      <c r="R27" t="n">
        <v>4294967295</v>
      </c>
      <c r="S27" t="inlineStr">
        <is>
          <t>SIN_DATOS</t>
        </is>
      </c>
      <c r="T27" t="inlineStr">
        <is>
          <t>SIN_FILTRO</t>
        </is>
      </c>
      <c r="U27" t="n">
        <v>0</v>
      </c>
      <c r="V27" t="inlineStr">
        <is>
          <t>$GPGSV,1,1,00*79</t>
        </is>
      </c>
      <c r="W27" t="inlineStr">
        <is>
          <t>I (384563) GPS: GPSDIAG|1|384297257|GPGSV|1|0|-1|0|0|-1|nan|nan|nan|nan|nan|0|99.99|4294967295|4294967295|SIN_DATOS|SIN_FILTRO|0|nan|nan|nan|nan|$GPGSV,1,1,00*79</t>
        </is>
      </c>
      <c r="X27">
        <f>IF(AND(OR($C27="GPRMC",$C27="GNRMC"),OR($D27=1,$D27=TRUE),OR($E27=1,$E27=TRUE),OR($G27=1,$G27=TRUE)),1,0)</f>
        <v/>
      </c>
      <c r="Y27">
        <f>IF(AND(AND(OR($C27="GPRMC",$C27="GNRMC"),OR($D27=1,$D27=TRUE),OR($E27=1,$E27=TRUE),OR($G27=1,$G27=TRUE)),ISNUMBER($M27)),$M27,"")</f>
        <v/>
      </c>
      <c r="Z27">
        <f>IF(AND(AND(OR($C27="GPRMC",$C27="GNRMC"),OR($D27=1,$D27=TRUE),OR($E27=1,$E27=TRUE),OR($G27=1,$G27=TRUE)),OR($U27=1,$U27=TRUE),ISNUMBER($M27)),$M27,"")</f>
        <v/>
      </c>
    </row>
    <row r="28">
      <c r="A28" t="inlineStr">
        <is>
          <t>2026-10-18T16:15:52.381-07:00</t>
        </is>
      </c>
      <c r="B28" t="n">
        <v>384311435</v>
      </c>
      <c r="C28" t="inlineStr">
        <is>
          <t>GPGLL</t>
        </is>
      </c>
      <c r="D28" t="n">
        <v>1</v>
      </c>
      <c r="E28" t="n">
        <v>0</v>
      </c>
      <c r="F28" t="n">
        <v>-1</v>
      </c>
      <c r="G28" t="n">
        <v>0</v>
      </c>
      <c r="H28" t="n">
        <v>0</v>
      </c>
      <c r="I28" t="n">
        <v>-1</v>
      </c>
      <c r="O28" t="n">
        <v>0</v>
      </c>
      <c r="P28" t="n">
        <v>99.98999999999999</v>
      </c>
      <c r="Q28" t="n">
        <v>4294967295</v>
      </c>
      <c r="R28" t="n">
        <v>4294967295</v>
      </c>
      <c r="S28" t="inlineStr">
        <is>
          <t>SIN_DATOS</t>
        </is>
      </c>
      <c r="T28" t="inlineStr">
        <is>
          <t>SIN_FILTRO</t>
        </is>
      </c>
      <c r="U28" t="n">
        <v>0</v>
      </c>
      <c r="V28" t="inlineStr">
        <is>
          <t>$GPGLL,,,,,,V,N*64</t>
        </is>
      </c>
      <c r="W28" t="inlineStr">
        <is>
          <t>I (384583) GPS: GPSDIAG|1|384311435|GPGLL|1|0|-1|0|0|-1|nan|nan|nan|nan|nan|0|99.99|4294967295|4294967295|SIN_DATOS|SIN_FILTRO|0|nan|nan|nan|nan|$GPGLL,,,,,,V,N*64</t>
        </is>
      </c>
      <c r="X28">
        <f>IF(AND(OR($C28="GPRMC",$C28="GNRMC"),OR($D28=1,$D28=TRUE),OR($E28=1,$E28=TRUE),OR($G28=1,$G28=TRUE)),1,0)</f>
        <v/>
      </c>
      <c r="Y28">
        <f>IF(AND(AND(OR($C28="GPRMC",$C28="GNRMC"),OR($D28=1,$D28=TRUE),OR($E28=1,$E28=TRUE),OR($G28=1,$G28=TRUE)),ISNUMBER($M28)),$M28,"")</f>
        <v/>
      </c>
      <c r="Z28">
        <f>IF(AND(AND(OR($C28="GPRMC",$C28="GNRMC"),OR($D28=1,$D28=TRUE),OR($E28=1,$E28=TRUE),OR($G28=1,$G28=TRUE)),OR($U28=1,$U28=TRUE),ISNUMBER($M28)),$M28,"")</f>
        <v/>
      </c>
    </row>
    <row r="29">
      <c r="A29" t="inlineStr">
        <is>
          <t>2026-10-18T16:15:53.297-07:00</t>
        </is>
      </c>
      <c r="B29" t="n">
        <v>385238670</v>
      </c>
      <c r="C29" t="inlineStr">
        <is>
          <t>GPRMC</t>
        </is>
      </c>
      <c r="D29" t="n">
        <v>1</v>
      </c>
      <c r="E29" t="n">
        <v>0</v>
      </c>
      <c r="F29" t="n">
        <v>-1</v>
      </c>
      <c r="G29" t="n">
        <v>0</v>
      </c>
      <c r="H29" t="n">
        <v>0</v>
      </c>
      <c r="I29" t="n">
        <v>-1</v>
      </c>
      <c r="O29" t="n">
        <v>0</v>
      </c>
      <c r="P29" t="n">
        <v>99.98999999999999</v>
      </c>
      <c r="Q29" t="n">
        <v>4294967295</v>
      </c>
      <c r="R29" t="n">
        <v>4294967295</v>
      </c>
      <c r="S29" t="inlineStr">
        <is>
          <t>SIN_DATOS</t>
        </is>
      </c>
      <c r="T29" t="inlineStr">
        <is>
          <t>SIN_FILTRO</t>
        </is>
      </c>
      <c r="U29" t="n">
        <v>0</v>
      </c>
      <c r="V29" t="inlineStr">
        <is>
          <t>$GPRMC,,V,,,,,,,,,,N*53</t>
        </is>
      </c>
      <c r="W29" t="inlineStr">
        <is>
          <t>I (385503) GPS: GPSDIAG|1|385238670|GPRMC|1|0|-1|0|0|-1|nan|nan|nan|nan|nan|0|99.99|4294967295|4294967295|SIN_DATOS|SIN_FILTRO|0|nan|nan|nan|nan|$GPRMC,,V,,,,,,,,,,N*53</t>
        </is>
      </c>
      <c r="X29">
        <f>IF(AND(OR($C29="GPRMC",$C29="GNRMC"),OR($D29=1,$D29=TRUE),OR($E29=1,$E29=TRUE),OR($G29=1,$G29=TRUE)),1,0)</f>
        <v/>
      </c>
      <c r="Y29">
        <f>IF(AND(AND(OR($C29="GPRMC",$C29="GNRMC"),OR($D29=1,$D29=TRUE),OR($E29=1,$E29=TRUE),OR($G29=1,$G29=TRUE)),ISNUMBER($M29)),$M29,"")</f>
        <v/>
      </c>
      <c r="Z29">
        <f>IF(AND(AND(OR($C29="GPRMC",$C29="GNRMC"),OR($D29=1,$D29=TRUE),OR($E29=1,$E29=TRUE),OR($G29=1,$G29=TRUE)),OR($U29=1,$U29=TRUE),ISNUMBER($M29)),$M29,"")</f>
        <v/>
      </c>
    </row>
    <row r="30">
      <c r="A30" t="inlineStr">
        <is>
          <t>2026-10-18T16:15:53.314-07:00</t>
        </is>
      </c>
      <c r="B30" t="n">
        <v>385244661</v>
      </c>
      <c r="C30" t="inlineStr">
        <is>
          <t>GPVTG</t>
        </is>
      </c>
      <c r="D30" t="n">
        <v>1</v>
      </c>
      <c r="E30" t="n">
        <v>0</v>
      </c>
      <c r="F30" t="n">
        <v>-1</v>
      </c>
      <c r="G30" t="n">
        <v>0</v>
      </c>
      <c r="H30" t="n">
        <v>0</v>
      </c>
      <c r="I30" t="n">
        <v>-1</v>
      </c>
      <c r="O30" t="n">
        <v>0</v>
      </c>
      <c r="P30" t="n">
        <v>99.98999999999999</v>
      </c>
      <c r="Q30" t="n">
        <v>4294967295</v>
      </c>
      <c r="R30" t="n">
        <v>4294967295</v>
      </c>
      <c r="S30" t="inlineStr">
        <is>
          <t>SIN_DATOS</t>
        </is>
      </c>
      <c r="T30" t="inlineStr">
        <is>
          <t>SIN_FILTRO</t>
        </is>
      </c>
      <c r="U30" t="n">
        <v>0</v>
      </c>
      <c r="V30" t="inlineStr">
        <is>
          <t>$GPVTG,,,,,,,,,N*30</t>
        </is>
      </c>
      <c r="W30" t="inlineStr">
        <is>
          <t>I (385513) GPS: GPSDIAG|1|385244661|GPVTG|1|0|-1|0|0|-1|nan|nan|nan|nan|nan|0|99.99|4294967295|4294967295|SIN_DATOS|SIN_FILTRO|0|nan|nan|nan|nan|$GPVTG,,,,,,,,,N*30</t>
        </is>
      </c>
      <c r="X30">
        <f>IF(AND(OR($C30="GPRMC",$C30="GNRMC"),OR($D30=1,$D30=TRUE),OR($E30=1,$E30=TRUE),OR($G30=1,$G30=TRUE)),1,0)</f>
        <v/>
      </c>
      <c r="Y30">
        <f>IF(AND(AND(OR($C30="GPRMC",$C30="GNRMC"),OR($D30=1,$D30=TRUE),OR($E30=1,$E30=TRUE),OR($G30=1,$G30=TRUE)),ISNUMBER($M30)),$M30,"")</f>
        <v/>
      </c>
      <c r="Z30">
        <f>IF(AND(AND(OR($C30="GPRMC",$C30="GNRMC"),OR($D30=1,$D30=TRUE),OR($E30=1,$E30=TRUE),OR($G30=1,$G30=TRUE)),OR($U30=1,$U30=TRUE),ISNUMBER($M30)),$M30,"")</f>
        <v/>
      </c>
    </row>
    <row r="31">
      <c r="A31" t="inlineStr">
        <is>
          <t>2026-10-18T16:15:53.325-07:00</t>
        </is>
      </c>
      <c r="B31" t="n">
        <v>385259287</v>
      </c>
      <c r="C31" t="inlineStr">
        <is>
          <t>GPGGA</t>
        </is>
      </c>
      <c r="D31" t="n">
        <v>1</v>
      </c>
      <c r="E31" t="n">
        <v>0</v>
      </c>
      <c r="F31" t="n">
        <v>-1</v>
      </c>
      <c r="G31" t="n">
        <v>0</v>
      </c>
      <c r="H31" t="n">
        <v>0</v>
      </c>
      <c r="I31" t="n">
        <v>-1</v>
      </c>
      <c r="O31" t="n">
        <v>0</v>
      </c>
      <c r="P31" t="n">
        <v>99.98999999999999</v>
      </c>
      <c r="Q31" t="n">
        <v>4294967295</v>
      </c>
      <c r="R31" t="n">
        <v>4294967295</v>
      </c>
      <c r="S31" t="inlineStr">
        <is>
          <t>SIN_DATOS</t>
        </is>
      </c>
      <c r="T31" t="inlineStr">
        <is>
          <t>SIN_FILTRO</t>
        </is>
      </c>
      <c r="U31" t="n">
        <v>0</v>
      </c>
      <c r="V31" t="inlineStr">
        <is>
          <t>$GPGGA,,,,,,0,00,99.99,,,,,,*48</t>
        </is>
      </c>
      <c r="W31" t="inlineStr">
        <is>
          <t>I (385523) GPS: GPSDIAG|1|385259287|GPGGA|1|0|-1|0|0|-1|nan|nan|nan|nan|nan|0|99.99|4294967295|4294967295|SIN_DATOS|SIN_FILTRO|0|nan|nan|nan|nan|$GPGGA,,,,,,0,00,99.99,,,,,,*48</t>
        </is>
      </c>
      <c r="X31">
        <f>IF(AND(OR($C31="GPRMC",$C31="GNRMC"),OR($D31=1,$D31=TRUE),OR($E31=1,$E31=TRUE),OR($G31=1,$G31=TRUE)),1,0)</f>
        <v/>
      </c>
      <c r="Y31">
        <f>IF(AND(AND(OR($C31="GPRMC",$C31="GNRMC"),OR($D31=1,$D31=TRUE),OR($E31=1,$E31=TRUE),OR($G31=1,$G31=TRUE)),ISNUMBER($M31)),$M31,"")</f>
        <v/>
      </c>
      <c r="Z31">
        <f>IF(AND(AND(OR($C31="GPRMC",$C31="GNRMC"),OR($D31=1,$D31=TRUE),OR($E31=1,$E31=TRUE),OR($G31=1,$G31=TRUE)),OR($U31=1,$U31=TRUE),ISNUMBER($M31)),$M31,"")</f>
        <v/>
      </c>
    </row>
    <row r="32">
      <c r="A32" t="inlineStr">
        <is>
          <t>2026-10-18T16:15:53.349-07:00</t>
        </is>
      </c>
      <c r="B32" t="n">
        <v>385291914</v>
      </c>
      <c r="C32" t="inlineStr">
        <is>
          <t>GPGSA</t>
        </is>
      </c>
      <c r="D32" t="n">
        <v>1</v>
      </c>
      <c r="E32" t="n">
        <v>0</v>
      </c>
      <c r="F32" t="n">
        <v>-1</v>
      </c>
      <c r="G32" t="n">
        <v>0</v>
      </c>
      <c r="H32" t="n">
        <v>0</v>
      </c>
      <c r="I32" t="n">
        <v>-1</v>
      </c>
      <c r="O32" t="n">
        <v>0</v>
      </c>
      <c r="P32" t="n">
        <v>99.98999999999999</v>
      </c>
      <c r="Q32" t="n">
        <v>4294967295</v>
      </c>
      <c r="R32" t="n">
        <v>4294967295</v>
      </c>
      <c r="S32" t="inlineStr">
        <is>
          <t>SIN_DATOS</t>
        </is>
      </c>
      <c r="T32" t="inlineStr">
        <is>
          <t>SIN_FILTRO</t>
        </is>
      </c>
      <c r="U32" t="n">
        <v>0</v>
      </c>
      <c r="V32" t="inlineStr">
        <is>
          <t>$GPGSA,A,1,,,,,,,,,,,,,99.99,99.99,99.99*30</t>
        </is>
      </c>
      <c r="W32" t="inlineStr">
        <is>
          <t>I (385563) GPS: GPSDIAG|1|385291914|GPGSA|1|0|-1|0|0|-1|nan|nan|nan|nan|nan|0|99.99|4294967295|4294967295|SIN_DATOS|SIN_FILTRO|0|nan|nan|nan|nan|$GPGSA,A,1,,,,,,,,,,,,,99.99,99.99,99.99*30</t>
        </is>
      </c>
      <c r="X32">
        <f>IF(AND(OR($C32="GPRMC",$C32="GNRMC"),OR($D32=1,$D32=TRUE),OR($E32=1,$E32=TRUE),OR($G32=1,$G32=TRUE)),1,0)</f>
        <v/>
      </c>
      <c r="Y32">
        <f>IF(AND(AND(OR($C32="GPRMC",$C32="GNRMC"),OR($D32=1,$D32=TRUE),OR($E32=1,$E32=TRUE),OR($G32=1,$G32=TRUE)),ISNUMBER($M32)),$M32,"")</f>
        <v/>
      </c>
      <c r="Z32">
        <f>IF(AND(AND(OR($C32="GPRMC",$C32="GNRMC"),OR($D32=1,$D32=TRUE),OR($E32=1,$E32=TRUE),OR($G32=1,$G32=TRUE)),OR($U32=1,$U32=TRUE),ISNUMBER($M32)),$M32,"")</f>
        <v/>
      </c>
    </row>
    <row r="33">
      <c r="A33" t="inlineStr">
        <is>
          <t>2026-10-18T16:15:53.365-07:00</t>
        </is>
      </c>
      <c r="B33" t="n">
        <v>385298050</v>
      </c>
      <c r="C33" t="inlineStr">
        <is>
          <t>GPGSV</t>
        </is>
      </c>
      <c r="D33" t="n">
        <v>1</v>
      </c>
      <c r="E33" t="n">
        <v>0</v>
      </c>
      <c r="F33" t="n">
        <v>-1</v>
      </c>
      <c r="G33" t="n">
        <v>0</v>
      </c>
      <c r="H33" t="n">
        <v>0</v>
      </c>
      <c r="I33" t="n">
        <v>-1</v>
      </c>
      <c r="O33" t="n">
        <v>0</v>
      </c>
      <c r="P33" t="n">
        <v>99.98999999999999</v>
      </c>
      <c r="Q33" t="n">
        <v>4294967295</v>
      </c>
      <c r="R33" t="n">
        <v>4294967295</v>
      </c>
      <c r="S33" t="inlineStr">
        <is>
          <t>SIN_DATOS</t>
        </is>
      </c>
      <c r="T33" t="inlineStr">
        <is>
          <t>SIN_FILTRO</t>
        </is>
      </c>
      <c r="U33" t="n">
        <v>0</v>
      </c>
      <c r="V33" t="inlineStr">
        <is>
          <t>$GPGSV,1,1,00*79</t>
        </is>
      </c>
      <c r="W33" t="inlineStr">
        <is>
          <t>I (385563) GPS: GPSDIAG|1|385298050|GPGSV|1|0|-1|0|0|-1|nan|nan|nan|nan|nan|0|99.99|4294967295|4294967295|SIN_DATOS|SIN_FILTRO|0|nan|nan|nan|nan|$GPGSV,1,1,00*79</t>
        </is>
      </c>
      <c r="X33">
        <f>IF(AND(OR($C33="GPRMC",$C33="GNRMC"),OR($D33=1,$D33=TRUE),OR($E33=1,$E33=TRUE),OR($G33=1,$G33=TRUE)),1,0)</f>
        <v/>
      </c>
      <c r="Y33">
        <f>IF(AND(AND(OR($C33="GPRMC",$C33="GNRMC"),OR($D33=1,$D33=TRUE),OR($E33=1,$E33=TRUE),OR($G33=1,$G33=TRUE)),ISNUMBER($M33)),$M33,"")</f>
        <v/>
      </c>
      <c r="Z33">
        <f>IF(AND(AND(OR($C33="GPRMC",$C33="GNRMC"),OR($D33=1,$D33=TRUE),OR($E33=1,$E33=TRUE),OR($G33=1,$G33=TRUE)),OR($U33=1,$U33=TRUE),ISNUMBER($M33)),$M33,"")</f>
        <v/>
      </c>
    </row>
    <row r="34">
      <c r="A34" t="inlineStr">
        <is>
          <t>2026-10-18T16:15:53.382-07:00</t>
        </is>
      </c>
      <c r="B34" t="n">
        <v>385312229</v>
      </c>
      <c r="C34" t="inlineStr">
        <is>
          <t>GPGLL</t>
        </is>
      </c>
      <c r="D34" t="n">
        <v>1</v>
      </c>
      <c r="E34" t="n">
        <v>0</v>
      </c>
      <c r="F34" t="n">
        <v>-1</v>
      </c>
      <c r="G34" t="n">
        <v>0</v>
      </c>
      <c r="H34" t="n">
        <v>0</v>
      </c>
      <c r="I34" t="n">
        <v>-1</v>
      </c>
      <c r="O34" t="n">
        <v>0</v>
      </c>
      <c r="P34" t="n">
        <v>99.98999999999999</v>
      </c>
      <c r="Q34" t="n">
        <v>4294967295</v>
      </c>
      <c r="R34" t="n">
        <v>4294967295</v>
      </c>
      <c r="S34" t="inlineStr">
        <is>
          <t>SIN_DATOS</t>
        </is>
      </c>
      <c r="T34" t="inlineStr">
        <is>
          <t>SIN_FILTRO</t>
        </is>
      </c>
      <c r="U34" t="n">
        <v>0</v>
      </c>
      <c r="V34" t="inlineStr">
        <is>
          <t>$GPGLL,,,,,,V,N*64</t>
        </is>
      </c>
      <c r="W34" t="inlineStr">
        <is>
          <t>I (385583) GPS: GPSDIAG|1|385312229|GPGLL|1|0|-1|0|0|-1|nan|nan|nan|nan|nan|0|99.99|4294967295|4294967295|SIN_DATOS|SIN_FILTRO|0|nan|nan|nan|nan|$GPGLL,,,,,,V,N*64</t>
        </is>
      </c>
      <c r="X34">
        <f>IF(AND(OR($C34="GPRMC",$C34="GNRMC"),OR($D34=1,$D34=TRUE),OR($E34=1,$E34=TRUE),OR($G34=1,$G34=TRUE)),1,0)</f>
        <v/>
      </c>
      <c r="Y34">
        <f>IF(AND(AND(OR($C34="GPRMC",$C34="GNRMC"),OR($D34=1,$D34=TRUE),OR($E34=1,$E34=TRUE),OR($G34=1,$G34=TRUE)),ISNUMBER($M34)),$M34,"")</f>
        <v/>
      </c>
      <c r="Z34">
        <f>IF(AND(AND(OR($C34="GPRMC",$C34="GNRMC"),OR($D34=1,$D34=TRUE),OR($E34=1,$E34=TRUE),OR($G34=1,$G34=TRUE)),OR($U34=1,$U34=TRUE),ISNUMBER($M34)),$M34,"")</f>
        <v/>
      </c>
    </row>
  </sheetData>
  <autoFilter ref="A10:Z34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5" t="inlineStr">
        <is>
          <t>IMU — prueba_03_ventana_00.xlsx</t>
        </is>
      </c>
    </row>
    <row r="3">
      <c r="A3" s="3" t="inlineStr">
        <is>
          <t>Muestras IMU</t>
        </is>
      </c>
      <c r="B3" s="3" t="inlineStr">
        <is>
          <t>Aceleración lineal</t>
        </is>
      </c>
      <c r="C3" s="3" t="inlineStr">
        <is>
          <t>Giroscopio</t>
        </is>
      </c>
      <c r="D3" s="3" t="inlineStr">
        <is>
          <t>Cuaterniones</t>
        </is>
      </c>
      <c r="E3" s="3" t="inlineStr">
        <is>
          <t>Aceleración media (m/s²)</t>
        </is>
      </c>
      <c r="F3" s="3" t="inlineStr">
        <is>
          <t>Giro medio (rad/s)</t>
        </is>
      </c>
      <c r="G3" s="3" t="inlineStr">
        <is>
          <t>Norma media cuaternión</t>
        </is>
      </c>
      <c r="H3" s="3" t="inlineStr">
        <is>
          <t>Duración IMU (s)</t>
        </is>
      </c>
    </row>
    <row r="4">
      <c r="A4" s="6">
        <f>COUNTA($B$11:$B$127)</f>
        <v/>
      </c>
      <c r="B4" s="6">
        <f>COUNTIF($B$11:$B$127,"LINEAR_ACCEL")</f>
        <v/>
      </c>
      <c r="C4" s="6">
        <f>COUNTIF($B$11:$B$127,"GYRO")</f>
        <v/>
      </c>
      <c r="D4" s="6">
        <f>COUNTIF($B$11:$B$127,"ROTATION_QUAT")</f>
        <v/>
      </c>
      <c r="E4" s="6">
        <f>IFERROR(AVERAGE($L$11:$L$127),"")</f>
        <v/>
      </c>
      <c r="F4" s="6">
        <f>IFERROR(AVERAGE($M$11:$M$127),"")</f>
        <v/>
      </c>
      <c r="G4" s="6">
        <f>IFERROR(AVERAGE($N$11:$N$127),"")</f>
        <v/>
      </c>
      <c r="H4" s="6">
        <f>IFERROR((MAX($D$11:$D$127)-MIN($D$11:$D$127))/1000000,0)</f>
        <v/>
      </c>
    </row>
    <row r="10">
      <c r="A10" s="3" t="inlineStr">
        <is>
          <t>hora_pc</t>
        </is>
      </c>
      <c r="B10" s="3" t="inlineStr">
        <is>
          <t>tipo</t>
        </is>
      </c>
      <c r="C10" s="3" t="inlineStr">
        <is>
          <t>recibido_esp_us</t>
        </is>
      </c>
      <c r="D10" s="3" t="inlineStr">
        <is>
          <t>timestamp_reporte_us</t>
        </is>
      </c>
      <c r="E10" s="3" t="inlineStr">
        <is>
          <t>x</t>
        </is>
      </c>
      <c r="F10" s="3" t="inlineStr">
        <is>
          <t>y</t>
        </is>
      </c>
      <c r="G10" s="3" t="inlineStr">
        <is>
          <t>z</t>
        </is>
      </c>
      <c r="H10" s="3" t="inlineStr">
        <is>
          <t>w</t>
        </is>
      </c>
      <c r="I10" s="3" t="inlineStr">
        <is>
          <t>estado_sensor</t>
        </is>
      </c>
      <c r="J10" s="3" t="inlineStr">
        <is>
          <t>linea_serial</t>
        </is>
      </c>
      <c r="K10" s="3" t="inlineStr">
        <is>
          <t>tiempo_desde_inicio_s</t>
        </is>
      </c>
      <c r="L10" s="3" t="inlineStr">
        <is>
          <t>magnitud_aceleracion_lineal_m_s2</t>
        </is>
      </c>
      <c r="M10" s="3" t="inlineStr">
        <is>
          <t>magnitud_giroscopio_rad_s</t>
        </is>
      </c>
      <c r="N10" s="3" t="inlineStr">
        <is>
          <t>norma_cuaternion</t>
        </is>
      </c>
    </row>
    <row r="11">
      <c r="A11" t="inlineStr">
        <is>
          <t>2026-10-18T16:15:49.958-07:00</t>
        </is>
      </c>
      <c r="B11" t="inlineStr">
        <is>
          <t>GYRO</t>
        </is>
      </c>
      <c r="C11" t="n">
        <v>381911329</v>
      </c>
      <c r="D11" t="n">
        <v>381908172</v>
      </c>
      <c r="E11" t="n">
        <v>0</v>
      </c>
      <c r="F11" t="n">
        <v>0</v>
      </c>
      <c r="G11" t="n">
        <v>-0.00195</v>
      </c>
      <c r="I11" t="n">
        <v>0</v>
      </c>
      <c r="J11" t="inlineStr">
        <is>
          <t>I (382183) IMU: IMU|1|381911329|381908172|GYRO|0.00000|0.00000|-0.00195|0</t>
        </is>
      </c>
      <c r="K11">
        <f>IF(ISNUMBER($D11),($D11-$D$11)/1000000,"")</f>
        <v/>
      </c>
      <c r="L11">
        <f>IF($B11="LINEAR_ACCEL",SQRT($E11^2+$F11^2+$G11^2),"")</f>
        <v/>
      </c>
      <c r="M11">
        <f>IF($B11="GYRO",SQRT($E11^2+$F11^2+$G11^2),"")</f>
        <v/>
      </c>
      <c r="N11">
        <f>IF($B11="ROTATION_QUAT",SQRT($E11^2+$F11^2+$G11^2+$H11^2),"")</f>
        <v/>
      </c>
    </row>
    <row r="12">
      <c r="A12" t="inlineStr">
        <is>
          <t>2026-10-18T16:15:49.973-07:00</t>
        </is>
      </c>
      <c r="B12" t="inlineStr">
        <is>
          <t>ROTATION_QUAT</t>
        </is>
      </c>
      <c r="C12" t="n">
        <v>381921767</v>
      </c>
      <c r="D12" t="n">
        <v>381907855</v>
      </c>
      <c r="E12" t="n">
        <v>0.017456</v>
      </c>
      <c r="F12" t="n">
        <v>-0.042175</v>
      </c>
      <c r="G12" t="n">
        <v>-0.40686</v>
      </c>
      <c r="H12" t="n">
        <v>0.912354</v>
      </c>
      <c r="I12" t="n">
        <v>0</v>
      </c>
      <c r="J12" t="inlineStr">
        <is>
          <t>I (382193) IMU: IMU|1|381921767|381907855|ROTATION_QUAT|0.017456|-0.042175|-0.406860|0.912354|0</t>
        </is>
      </c>
      <c r="K12">
        <f>IF(ISNUMBER($D12),($D12-$D$11)/1000000,"")</f>
        <v/>
      </c>
      <c r="L12">
        <f>IF($B12="LINEAR_ACCEL",SQRT($E12^2+$F12^2+$G12^2),"")</f>
        <v/>
      </c>
      <c r="M12">
        <f>IF($B12="GYRO",SQRT($E12^2+$F12^2+$G12^2),"")</f>
        <v/>
      </c>
      <c r="N12">
        <f>IF($B12="ROTATION_QUAT",SQRT($E12^2+$F12^2+$G12^2+$H12^2),"")</f>
        <v/>
      </c>
    </row>
    <row r="13">
      <c r="A13" t="inlineStr">
        <is>
          <t>2026-10-18T16:15:49.978-07:00</t>
        </is>
      </c>
      <c r="B13" t="inlineStr">
        <is>
          <t>LINEAR_ACCEL</t>
        </is>
      </c>
      <c r="C13" t="n">
        <v>381922334</v>
      </c>
      <c r="D13" t="n">
        <v>381907855</v>
      </c>
      <c r="E13" t="n">
        <v>0.00391</v>
      </c>
      <c r="F13" t="n">
        <v>0.01172</v>
      </c>
      <c r="G13" t="n">
        <v>0.00391</v>
      </c>
      <c r="I13" t="n">
        <v>3</v>
      </c>
      <c r="J13" t="inlineStr">
        <is>
          <t>I (382193) IMU: IMU|1|381922334|381907855|LINEAR_ACCEL|0.00391|0.01172|0.00391|3</t>
        </is>
      </c>
      <c r="K13">
        <f>IF(ISNUMBER($D13),($D13-$D$11)/1000000,"")</f>
        <v/>
      </c>
      <c r="L13">
        <f>IF($B13="LINEAR_ACCEL",SQRT($E13^2+$F13^2+$G13^2),"")</f>
        <v/>
      </c>
      <c r="M13">
        <f>IF($B13="GYRO",SQRT($E13^2+$F13^2+$G13^2),"")</f>
        <v/>
      </c>
      <c r="N13">
        <f>IF($B13="ROTATION_QUAT",SQRT($E13^2+$F13^2+$G13^2+$H13^2),"")</f>
        <v/>
      </c>
    </row>
    <row r="14">
      <c r="A14" t="inlineStr">
        <is>
          <t>2026-10-18T16:15:50.058-07:00</t>
        </is>
      </c>
      <c r="B14" t="inlineStr">
        <is>
          <t>GYRO</t>
        </is>
      </c>
      <c r="C14" t="n">
        <v>382011321</v>
      </c>
      <c r="D14" t="n">
        <v>382008172</v>
      </c>
      <c r="E14" t="n">
        <v>0</v>
      </c>
      <c r="F14" t="n">
        <v>0.00195</v>
      </c>
      <c r="G14" t="n">
        <v>0</v>
      </c>
      <c r="I14" t="n">
        <v>0</v>
      </c>
      <c r="J14" t="inlineStr">
        <is>
          <t>I (382283) IMU: IMU|1|382011321|382008172|GYRO|0.00000|0.00195|0.00000|0</t>
        </is>
      </c>
      <c r="K14">
        <f>IF(ISNUMBER($D14),($D14-$D$11)/1000000,"")</f>
        <v/>
      </c>
      <c r="L14">
        <f>IF($B14="LINEAR_ACCEL",SQRT($E14^2+$F14^2+$G14^2),"")</f>
        <v/>
      </c>
      <c r="M14">
        <f>IF($B14="GYRO",SQRT($E14^2+$F14^2+$G14^2),"")</f>
        <v/>
      </c>
      <c r="N14">
        <f>IF($B14="ROTATION_QUAT",SQRT($E14^2+$F14^2+$G14^2+$H14^2),"")</f>
        <v/>
      </c>
    </row>
    <row r="15">
      <c r="A15" t="inlineStr">
        <is>
          <t>2026-10-18T16:15:50.073-07:00</t>
        </is>
      </c>
      <c r="B15" t="inlineStr">
        <is>
          <t>ROTATION_QUAT</t>
        </is>
      </c>
      <c r="C15" t="n">
        <v>382021768</v>
      </c>
      <c r="D15" t="n">
        <v>382008155</v>
      </c>
      <c r="E15" t="n">
        <v>0.017517</v>
      </c>
      <c r="F15" t="n">
        <v>-0.042175</v>
      </c>
      <c r="G15" t="n">
        <v>-0.40686</v>
      </c>
      <c r="H15" t="n">
        <v>0.912354</v>
      </c>
      <c r="I15" t="n">
        <v>0</v>
      </c>
      <c r="J15" t="inlineStr">
        <is>
          <t>I (382293) IMU: IMU|1|382021768|382008155|ROTATION_QUAT|0.017517|-0.042175|-0.406860|0.912354|0</t>
        </is>
      </c>
      <c r="K15">
        <f>IF(ISNUMBER($D15),($D15-$D$11)/1000000,"")</f>
        <v/>
      </c>
      <c r="L15">
        <f>IF($B15="LINEAR_ACCEL",SQRT($E15^2+$F15^2+$G15^2),"")</f>
        <v/>
      </c>
      <c r="M15">
        <f>IF($B15="GYRO",SQRT($E15^2+$F15^2+$G15^2),"")</f>
        <v/>
      </c>
      <c r="N15">
        <f>IF($B15="ROTATION_QUAT",SQRT($E15^2+$F15^2+$G15^2+$H15^2),"")</f>
        <v/>
      </c>
    </row>
    <row r="16">
      <c r="A16" t="inlineStr">
        <is>
          <t>2026-10-18T16:15:50.078-07:00</t>
        </is>
      </c>
      <c r="B16" t="inlineStr">
        <is>
          <t>LINEAR_ACCEL</t>
        </is>
      </c>
      <c r="C16" t="n">
        <v>382022335</v>
      </c>
      <c r="D16" t="n">
        <v>382008155</v>
      </c>
      <c r="E16" t="n">
        <v>0.00391</v>
      </c>
      <c r="F16" t="n">
        <v>0.00391</v>
      </c>
      <c r="G16" t="n">
        <v>0.00391</v>
      </c>
      <c r="I16" t="n">
        <v>3</v>
      </c>
      <c r="J16" t="inlineStr">
        <is>
          <t>I (382293) IMU: IMU|1|382022335|382008155|LINEAR_ACCEL|0.00391|0.00391|0.00391|3</t>
        </is>
      </c>
      <c r="K16">
        <f>IF(ISNUMBER($D16),($D16-$D$11)/1000000,"")</f>
        <v/>
      </c>
      <c r="L16">
        <f>IF($B16="LINEAR_ACCEL",SQRT($E16^2+$F16^2+$G16^2),"")</f>
        <v/>
      </c>
      <c r="M16">
        <f>IF($B16="GYRO",SQRT($E16^2+$F16^2+$G16^2),"")</f>
        <v/>
      </c>
      <c r="N16">
        <f>IF($B16="ROTATION_QUAT",SQRT($E16^2+$F16^2+$G16^2+$H16^2),"")</f>
        <v/>
      </c>
    </row>
    <row r="17">
      <c r="A17" t="inlineStr">
        <is>
          <t>2026-10-18T16:15:50.158-07:00</t>
        </is>
      </c>
      <c r="B17" t="inlineStr">
        <is>
          <t>GYRO</t>
        </is>
      </c>
      <c r="C17" t="n">
        <v>382111315</v>
      </c>
      <c r="D17" t="n">
        <v>382108172</v>
      </c>
      <c r="E17" t="n">
        <v>0</v>
      </c>
      <c r="F17" t="n">
        <v>0</v>
      </c>
      <c r="G17" t="n">
        <v>0</v>
      </c>
      <c r="I17" t="n">
        <v>0</v>
      </c>
      <c r="J17" t="inlineStr">
        <is>
          <t>I (382383) IMU: IMU|1|382111315|382108172|GYRO|0.00000|0.00000|0.00000|0</t>
        </is>
      </c>
      <c r="K17">
        <f>IF(ISNUMBER($D17),($D17-$D$11)/1000000,"")</f>
        <v/>
      </c>
      <c r="L17">
        <f>IF($B17="LINEAR_ACCEL",SQRT($E17^2+$F17^2+$G17^2),"")</f>
        <v/>
      </c>
      <c r="M17">
        <f>IF($B17="GYRO",SQRT($E17^2+$F17^2+$G17^2),"")</f>
        <v/>
      </c>
      <c r="N17">
        <f>IF($B17="ROTATION_QUAT",SQRT($E17^2+$F17^2+$G17^2+$H17^2),"")</f>
        <v/>
      </c>
    </row>
    <row r="18">
      <c r="A18" t="inlineStr">
        <is>
          <t>2026-10-18T16:15:50.173-07:00</t>
        </is>
      </c>
      <c r="B18" t="inlineStr">
        <is>
          <t>ROTATION_QUAT</t>
        </is>
      </c>
      <c r="C18" t="n">
        <v>382121719</v>
      </c>
      <c r="D18" t="n">
        <v>382108131</v>
      </c>
      <c r="E18" t="n">
        <v>0.017578</v>
      </c>
      <c r="F18" t="n">
        <v>-0.042236</v>
      </c>
      <c r="G18" t="n">
        <v>-0.406799</v>
      </c>
      <c r="H18" t="n">
        <v>0.912354</v>
      </c>
      <c r="I18" t="n">
        <v>0</v>
      </c>
      <c r="J18" t="inlineStr">
        <is>
          <t>I (382393) IMU: IMU|1|382121719|382108131|ROTATION_QUAT|0.017578|-0.042236|-0.406799|0.912354|0</t>
        </is>
      </c>
      <c r="K18">
        <f>IF(ISNUMBER($D18),($D18-$D$11)/1000000,"")</f>
        <v/>
      </c>
      <c r="L18">
        <f>IF($B18="LINEAR_ACCEL",SQRT($E18^2+$F18^2+$G18^2),"")</f>
        <v/>
      </c>
      <c r="M18">
        <f>IF($B18="GYRO",SQRT($E18^2+$F18^2+$G18^2),"")</f>
        <v/>
      </c>
      <c r="N18">
        <f>IF($B18="ROTATION_QUAT",SQRT($E18^2+$F18^2+$G18^2+$H18^2),"")</f>
        <v/>
      </c>
    </row>
    <row r="19">
      <c r="A19" t="inlineStr">
        <is>
          <t>2026-10-18T16:15:50.178-07:00</t>
        </is>
      </c>
      <c r="B19" t="inlineStr">
        <is>
          <t>LINEAR_ACCEL</t>
        </is>
      </c>
      <c r="C19" t="n">
        <v>382122294</v>
      </c>
      <c r="D19" t="n">
        <v>382108131</v>
      </c>
      <c r="E19" t="n">
        <v>0.00391</v>
      </c>
      <c r="F19" t="n">
        <v>-0.00391</v>
      </c>
      <c r="G19" t="n">
        <v>0.00391</v>
      </c>
      <c r="I19" t="n">
        <v>3</v>
      </c>
      <c r="J19" t="inlineStr">
        <is>
          <t>I (382393) IMU: IMU|1|382122294|382108131|LINEAR_ACCEL|0.00391|-0.00391|0.00391|3</t>
        </is>
      </c>
      <c r="K19">
        <f>IF(ISNUMBER($D19),($D19-$D$11)/1000000,"")</f>
        <v/>
      </c>
      <c r="L19">
        <f>IF($B19="LINEAR_ACCEL",SQRT($E19^2+$F19^2+$G19^2),"")</f>
        <v/>
      </c>
      <c r="M19">
        <f>IF($B19="GYRO",SQRT($E19^2+$F19^2+$G19^2),"")</f>
        <v/>
      </c>
      <c r="N19">
        <f>IF($B19="ROTATION_QUAT",SQRT($E19^2+$F19^2+$G19^2+$H19^2),"")</f>
        <v/>
      </c>
    </row>
    <row r="20">
      <c r="A20" t="inlineStr">
        <is>
          <t>2026-10-18T16:15:50.258-07:00</t>
        </is>
      </c>
      <c r="B20" t="inlineStr">
        <is>
          <t>GYRO</t>
        </is>
      </c>
      <c r="C20" t="n">
        <v>382211312</v>
      </c>
      <c r="D20" t="n">
        <v>382207772</v>
      </c>
      <c r="E20" t="n">
        <v>0.00195</v>
      </c>
      <c r="F20" t="n">
        <v>-0.00195</v>
      </c>
      <c r="G20" t="n">
        <v>0</v>
      </c>
      <c r="I20" t="n">
        <v>0</v>
      </c>
      <c r="J20" t="inlineStr">
        <is>
          <t>I (382483) IMU: IMU|1|382211312|382207772|GYRO|0.00195|-0.00195|0.00000|0</t>
        </is>
      </c>
      <c r="K20">
        <f>IF(ISNUMBER($D20),($D20-$D$11)/1000000,"")</f>
        <v/>
      </c>
      <c r="L20">
        <f>IF($B20="LINEAR_ACCEL",SQRT($E20^2+$F20^2+$G20^2),"")</f>
        <v/>
      </c>
      <c r="M20">
        <f>IF($B20="GYRO",SQRT($E20^2+$F20^2+$G20^2),"")</f>
        <v/>
      </c>
      <c r="N20">
        <f>IF($B20="ROTATION_QUAT",SQRT($E20^2+$F20^2+$G20^2+$H20^2),"")</f>
        <v/>
      </c>
    </row>
    <row r="21">
      <c r="A21" t="inlineStr">
        <is>
          <t>2026-10-18T16:15:50.273-07:00</t>
        </is>
      </c>
      <c r="B21" t="inlineStr">
        <is>
          <t>ROTATION_QUAT</t>
        </is>
      </c>
      <c r="C21" t="n">
        <v>382221764</v>
      </c>
      <c r="D21" t="n">
        <v>382208055</v>
      </c>
      <c r="E21" t="n">
        <v>0.0177</v>
      </c>
      <c r="F21" t="n">
        <v>-0.042297</v>
      </c>
      <c r="G21" t="n">
        <v>-0.406799</v>
      </c>
      <c r="H21" t="n">
        <v>0.912354</v>
      </c>
      <c r="I21" t="n">
        <v>0</v>
      </c>
      <c r="J21" t="inlineStr">
        <is>
          <t>I (382493) IMU: IMU|1|382221764|382208055|ROTATION_QUAT|0.017700|-0.042297|-0.406799|0.912354|0</t>
        </is>
      </c>
      <c r="K21">
        <f>IF(ISNUMBER($D21),($D21-$D$11)/1000000,"")</f>
        <v/>
      </c>
      <c r="L21">
        <f>IF($B21="LINEAR_ACCEL",SQRT($E21^2+$F21^2+$G21^2),"")</f>
        <v/>
      </c>
      <c r="M21">
        <f>IF($B21="GYRO",SQRT($E21^2+$F21^2+$G21^2),"")</f>
        <v/>
      </c>
      <c r="N21">
        <f>IF($B21="ROTATION_QUAT",SQRT($E21^2+$F21^2+$G21^2+$H21^2),"")</f>
        <v/>
      </c>
    </row>
    <row r="22">
      <c r="A22" t="inlineStr">
        <is>
          <t>2026-10-18T16:15:50.278-07:00</t>
        </is>
      </c>
      <c r="B22" t="inlineStr">
        <is>
          <t>LINEAR_ACCEL</t>
        </is>
      </c>
      <c r="C22" t="n">
        <v>382222339</v>
      </c>
      <c r="D22" t="n">
        <v>382208055</v>
      </c>
      <c r="E22" t="n">
        <v>0.00391</v>
      </c>
      <c r="F22" t="n">
        <v>-0.00391</v>
      </c>
      <c r="G22" t="n">
        <v>-0.00391</v>
      </c>
      <c r="I22" t="n">
        <v>3</v>
      </c>
      <c r="J22" t="inlineStr">
        <is>
          <t>I (382493) IMU: IMU|1|382222339|382208055|LINEAR_ACCEL|0.00391|-0.00391|-0.00391|3</t>
        </is>
      </c>
      <c r="K22">
        <f>IF(ISNUMBER($D22),($D22-$D$11)/1000000,"")</f>
        <v/>
      </c>
      <c r="L22">
        <f>IF($B22="LINEAR_ACCEL",SQRT($E22^2+$F22^2+$G22^2),"")</f>
        <v/>
      </c>
      <c r="M22">
        <f>IF($B22="GYRO",SQRT($E22^2+$F22^2+$G22^2),"")</f>
        <v/>
      </c>
      <c r="N22">
        <f>IF($B22="ROTATION_QUAT",SQRT($E22^2+$F22^2+$G22^2+$H22^2),"")</f>
        <v/>
      </c>
    </row>
    <row r="23">
      <c r="A23" t="inlineStr">
        <is>
          <t>2026-10-18T16:15:50.388-07:00</t>
        </is>
      </c>
      <c r="B23" t="inlineStr">
        <is>
          <t>GYRO</t>
        </is>
      </c>
      <c r="C23" t="n">
        <v>382327929</v>
      </c>
      <c r="D23" t="n">
        <v>382308183</v>
      </c>
      <c r="E23" t="n">
        <v>-0.00195</v>
      </c>
      <c r="F23" t="n">
        <v>0</v>
      </c>
      <c r="G23" t="n">
        <v>0</v>
      </c>
      <c r="I23" t="n">
        <v>0</v>
      </c>
      <c r="J23" t="inlineStr">
        <is>
          <t>I (382593) IMU: IMU|1|382327929|382308183|GYRO|-0.00195|0.00000|0.00000|0</t>
        </is>
      </c>
      <c r="K23">
        <f>IF(ISNUMBER($D23),($D23-$D$11)/1000000,"")</f>
        <v/>
      </c>
      <c r="L23">
        <f>IF($B23="LINEAR_ACCEL",SQRT($E23^2+$F23^2+$G23^2),"")</f>
        <v/>
      </c>
      <c r="M23">
        <f>IF($B23="GYRO",SQRT($E23^2+$F23^2+$G23^2),"")</f>
        <v/>
      </c>
      <c r="N23">
        <f>IF($B23="ROTATION_QUAT",SQRT($E23^2+$F23^2+$G23^2+$H23^2),"")</f>
        <v/>
      </c>
    </row>
    <row r="24">
      <c r="A24" t="inlineStr">
        <is>
          <t>2026-10-18T16:15:50.394-07:00</t>
        </is>
      </c>
      <c r="B24" t="inlineStr">
        <is>
          <t>ROTATION_QUAT</t>
        </is>
      </c>
      <c r="C24" t="n">
        <v>382341796</v>
      </c>
      <c r="D24" t="n">
        <v>382311671</v>
      </c>
      <c r="E24" t="n">
        <v>0.017761</v>
      </c>
      <c r="F24" t="n">
        <v>-0.042297</v>
      </c>
      <c r="G24" t="n">
        <v>-0.406799</v>
      </c>
      <c r="H24" t="n">
        <v>0.912354</v>
      </c>
      <c r="I24" t="n">
        <v>0</v>
      </c>
      <c r="J24" t="inlineStr">
        <is>
          <t>I (382613) IMU: IMU|1|382341796|382311671|ROTATION_QUAT|0.017761|-0.042297|-0.406799|0.912354|0</t>
        </is>
      </c>
      <c r="K24">
        <f>IF(ISNUMBER($D24),($D24-$D$11)/1000000,"")</f>
        <v/>
      </c>
      <c r="L24">
        <f>IF($B24="LINEAR_ACCEL",SQRT($E24^2+$F24^2+$G24^2),"")</f>
        <v/>
      </c>
      <c r="M24">
        <f>IF($B24="GYRO",SQRT($E24^2+$F24^2+$G24^2),"")</f>
        <v/>
      </c>
      <c r="N24">
        <f>IF($B24="ROTATION_QUAT",SQRT($E24^2+$F24^2+$G24^2+$H24^2),"")</f>
        <v/>
      </c>
    </row>
    <row r="25">
      <c r="A25" t="inlineStr">
        <is>
          <t>2026-10-18T16:15:50.399-07:00</t>
        </is>
      </c>
      <c r="B25" t="inlineStr">
        <is>
          <t>LINEAR_ACCEL</t>
        </is>
      </c>
      <c r="C25" t="n">
        <v>382342387</v>
      </c>
      <c r="D25" t="n">
        <v>382311671</v>
      </c>
      <c r="E25" t="n">
        <v>0.00391</v>
      </c>
      <c r="F25" t="n">
        <v>-0.00391</v>
      </c>
      <c r="G25" t="n">
        <v>-0.04297</v>
      </c>
      <c r="I25" t="n">
        <v>3</v>
      </c>
      <c r="J25" t="inlineStr">
        <is>
          <t>I (382613) IMU: IMU|1|382342387|382311671|LINEAR_ACCEL|0.00391|-0.00391|-0.04297|3</t>
        </is>
      </c>
      <c r="K25">
        <f>IF(ISNUMBER($D25),($D25-$D$11)/1000000,"")</f>
        <v/>
      </c>
      <c r="L25">
        <f>IF($B25="LINEAR_ACCEL",SQRT($E25^2+$F25^2+$G25^2),"")</f>
        <v/>
      </c>
      <c r="M25">
        <f>IF($B25="GYRO",SQRT($E25^2+$F25^2+$G25^2),"")</f>
        <v/>
      </c>
      <c r="N25">
        <f>IF($B25="ROTATION_QUAT",SQRT($E25^2+$F25^2+$G25^2+$H25^2),"")</f>
        <v/>
      </c>
    </row>
    <row r="26">
      <c r="A26" t="inlineStr">
        <is>
          <t>2026-10-18T16:15:50.458-07:00</t>
        </is>
      </c>
      <c r="B26" t="inlineStr">
        <is>
          <t>GYRO</t>
        </is>
      </c>
      <c r="C26" t="n">
        <v>382411311</v>
      </c>
      <c r="D26" t="n">
        <v>382408172</v>
      </c>
      <c r="E26" t="n">
        <v>0</v>
      </c>
      <c r="F26" t="n">
        <v>-0.00195</v>
      </c>
      <c r="G26" t="n">
        <v>0</v>
      </c>
      <c r="I26" t="n">
        <v>0</v>
      </c>
      <c r="J26" t="inlineStr">
        <is>
          <t>I (382683) IMU: IMU|1|382411311|382408172|GYRO|0.00000|-0.00195|0.00000|0</t>
        </is>
      </c>
      <c r="K26">
        <f>IF(ISNUMBER($D26),($D26-$D$11)/1000000,"")</f>
        <v/>
      </c>
      <c r="L26">
        <f>IF($B26="LINEAR_ACCEL",SQRT($E26^2+$F26^2+$G26^2),"")</f>
        <v/>
      </c>
      <c r="M26">
        <f>IF($B26="GYRO",SQRT($E26^2+$F26^2+$G26^2),"")</f>
        <v/>
      </c>
      <c r="N26">
        <f>IF($B26="ROTATION_QUAT",SQRT($E26^2+$F26^2+$G26^2+$H26^2),"")</f>
        <v/>
      </c>
    </row>
    <row r="27">
      <c r="A27" t="inlineStr">
        <is>
          <t>2026-10-18T16:15:50.473-07:00</t>
        </is>
      </c>
      <c r="B27" t="inlineStr">
        <is>
          <t>ROTATION_QUAT</t>
        </is>
      </c>
      <c r="C27" t="n">
        <v>382421763</v>
      </c>
      <c r="D27" t="n">
        <v>382407955</v>
      </c>
      <c r="E27" t="n">
        <v>0.017761</v>
      </c>
      <c r="F27" t="n">
        <v>-0.042297</v>
      </c>
      <c r="G27" t="n">
        <v>-0.406799</v>
      </c>
      <c r="H27" t="n">
        <v>0.912354</v>
      </c>
      <c r="I27" t="n">
        <v>0</v>
      </c>
      <c r="J27" t="inlineStr">
        <is>
          <t>I (382693) IMU: IMU|1|382421763|382407955|ROTATION_QUAT|0.017761|-0.042297|-0.406799|0.912354|0</t>
        </is>
      </c>
      <c r="K27">
        <f>IF(ISNUMBER($D27),($D27-$D$11)/1000000,"")</f>
        <v/>
      </c>
      <c r="L27">
        <f>IF($B27="LINEAR_ACCEL",SQRT($E27^2+$F27^2+$G27^2),"")</f>
        <v/>
      </c>
      <c r="M27">
        <f>IF($B27="GYRO",SQRT($E27^2+$F27^2+$G27^2),"")</f>
        <v/>
      </c>
      <c r="N27">
        <f>IF($B27="ROTATION_QUAT",SQRT($E27^2+$F27^2+$G27^2+$H27^2),"")</f>
        <v/>
      </c>
    </row>
    <row r="28">
      <c r="A28" t="inlineStr">
        <is>
          <t>2026-10-18T16:15:50.478-07:00</t>
        </is>
      </c>
      <c r="B28" t="inlineStr">
        <is>
          <t>LINEAR_ACCEL</t>
        </is>
      </c>
      <c r="C28" t="n">
        <v>382422323</v>
      </c>
      <c r="D28" t="n">
        <v>382407955</v>
      </c>
      <c r="E28" t="n">
        <v>0.00391</v>
      </c>
      <c r="F28" t="n">
        <v>-0.00391</v>
      </c>
      <c r="G28" t="n">
        <v>0.00391</v>
      </c>
      <c r="I28" t="n">
        <v>3</v>
      </c>
      <c r="J28" t="inlineStr">
        <is>
          <t>I (382693) IMU: IMU|1|382422323|382407955|LINEAR_ACCEL|0.00391|-0.00391|0.00391|3</t>
        </is>
      </c>
      <c r="K28">
        <f>IF(ISNUMBER($D28),($D28-$D$11)/1000000,"")</f>
        <v/>
      </c>
      <c r="L28">
        <f>IF($B28="LINEAR_ACCEL",SQRT($E28^2+$F28^2+$G28^2),"")</f>
        <v/>
      </c>
      <c r="M28">
        <f>IF($B28="GYRO",SQRT($E28^2+$F28^2+$G28^2),"")</f>
        <v/>
      </c>
      <c r="N28">
        <f>IF($B28="ROTATION_QUAT",SQRT($E28^2+$F28^2+$G28^2+$H28^2),"")</f>
        <v/>
      </c>
    </row>
    <row r="29">
      <c r="A29" t="inlineStr">
        <is>
          <t>2026-10-18T16:15:50.558-07:00</t>
        </is>
      </c>
      <c r="B29" t="inlineStr">
        <is>
          <t>GYRO</t>
        </is>
      </c>
      <c r="C29" t="n">
        <v>382511318</v>
      </c>
      <c r="D29" t="n">
        <v>382508172</v>
      </c>
      <c r="E29" t="n">
        <v>-0.00586</v>
      </c>
      <c r="F29" t="n">
        <v>0.00195</v>
      </c>
      <c r="G29" t="n">
        <v>-0.00195</v>
      </c>
      <c r="I29" t="n">
        <v>0</v>
      </c>
      <c r="J29" t="inlineStr">
        <is>
          <t>I (382783) IMU: IMU|1|382511318|382508172|GYRO|-0.00586|0.00195|-0.00195|0</t>
        </is>
      </c>
      <c r="K29">
        <f>IF(ISNUMBER($D29),($D29-$D$11)/1000000,"")</f>
        <v/>
      </c>
      <c r="L29">
        <f>IF($B29="LINEAR_ACCEL",SQRT($E29^2+$F29^2+$G29^2),"")</f>
        <v/>
      </c>
      <c r="M29">
        <f>IF($B29="GYRO",SQRT($E29^2+$F29^2+$G29^2),"")</f>
        <v/>
      </c>
      <c r="N29">
        <f>IF($B29="ROTATION_QUAT",SQRT($E29^2+$F29^2+$G29^2+$H29^2),"")</f>
        <v/>
      </c>
    </row>
    <row r="30">
      <c r="A30" t="inlineStr">
        <is>
          <t>2026-10-18T16:15:50.573-07:00</t>
        </is>
      </c>
      <c r="B30" t="inlineStr">
        <is>
          <t>ROTATION_QUAT</t>
        </is>
      </c>
      <c r="C30" t="n">
        <v>382521743</v>
      </c>
      <c r="D30" t="n">
        <v>382508143</v>
      </c>
      <c r="E30" t="n">
        <v>0.017822</v>
      </c>
      <c r="F30" t="n">
        <v>-0.042297</v>
      </c>
      <c r="G30" t="n">
        <v>-0.406799</v>
      </c>
      <c r="H30" t="n">
        <v>0.912354</v>
      </c>
      <c r="I30" t="n">
        <v>0</v>
      </c>
      <c r="J30" t="inlineStr">
        <is>
          <t>I (382793) IMU: IMU|1|382521743|382508143|ROTATION_QUAT|0.017822|-0.042297|-0.406799|0.912354|0</t>
        </is>
      </c>
      <c r="K30">
        <f>IF(ISNUMBER($D30),($D30-$D$11)/1000000,"")</f>
        <v/>
      </c>
      <c r="L30">
        <f>IF($B30="LINEAR_ACCEL",SQRT($E30^2+$F30^2+$G30^2),"")</f>
        <v/>
      </c>
      <c r="M30">
        <f>IF($B30="GYRO",SQRT($E30^2+$F30^2+$G30^2),"")</f>
        <v/>
      </c>
      <c r="N30">
        <f>IF($B30="ROTATION_QUAT",SQRT($E30^2+$F30^2+$G30^2+$H30^2),"")</f>
        <v/>
      </c>
    </row>
    <row r="31">
      <c r="A31" t="inlineStr">
        <is>
          <t>2026-10-18T16:15:50.578-07:00</t>
        </is>
      </c>
      <c r="B31" t="inlineStr">
        <is>
          <t>LINEAR_ACCEL</t>
        </is>
      </c>
      <c r="C31" t="n">
        <v>382522303</v>
      </c>
      <c r="D31" t="n">
        <v>382508143</v>
      </c>
      <c r="E31" t="n">
        <v>0.00391</v>
      </c>
      <c r="F31" t="n">
        <v>-0.00391</v>
      </c>
      <c r="G31" t="n">
        <v>0.00391</v>
      </c>
      <c r="I31" t="n">
        <v>3</v>
      </c>
      <c r="J31" t="inlineStr">
        <is>
          <t>I (382793) IMU: IMU|1|382522303|382508143|LINEAR_ACCEL|0.00391|-0.00391|0.00391|3</t>
        </is>
      </c>
      <c r="K31">
        <f>IF(ISNUMBER($D31),($D31-$D$11)/1000000,"")</f>
        <v/>
      </c>
      <c r="L31">
        <f>IF($B31="LINEAR_ACCEL",SQRT($E31^2+$F31^2+$G31^2),"")</f>
        <v/>
      </c>
      <c r="M31">
        <f>IF($B31="GYRO",SQRT($E31^2+$F31^2+$G31^2),"")</f>
        <v/>
      </c>
      <c r="N31">
        <f>IF($B31="ROTATION_QUAT",SQRT($E31^2+$F31^2+$G31^2+$H31^2),"")</f>
        <v/>
      </c>
    </row>
    <row r="32">
      <c r="A32" t="inlineStr">
        <is>
          <t>2026-10-18T16:15:50.658-07:00</t>
        </is>
      </c>
      <c r="B32" t="inlineStr">
        <is>
          <t>GYRO</t>
        </is>
      </c>
      <c r="C32" t="n">
        <v>382611310</v>
      </c>
      <c r="D32" t="n">
        <v>382608172</v>
      </c>
      <c r="E32" t="n">
        <v>-0.00195</v>
      </c>
      <c r="F32" t="n">
        <v>0</v>
      </c>
      <c r="G32" t="n">
        <v>0</v>
      </c>
      <c r="I32" t="n">
        <v>0</v>
      </c>
      <c r="J32" t="inlineStr">
        <is>
          <t>I (382883) IMU: IMU|1|382611310|382608172|GYRO|-0.00195|0.00000|0.00000|0</t>
        </is>
      </c>
      <c r="K32">
        <f>IF(ISNUMBER($D32),($D32-$D$11)/1000000,"")</f>
        <v/>
      </c>
      <c r="L32">
        <f>IF($B32="LINEAR_ACCEL",SQRT($E32^2+$F32^2+$G32^2),"")</f>
        <v/>
      </c>
      <c r="M32">
        <f>IF($B32="GYRO",SQRT($E32^2+$F32^2+$G32^2),"")</f>
        <v/>
      </c>
      <c r="N32">
        <f>IF($B32="ROTATION_QUAT",SQRT($E32^2+$F32^2+$G32^2+$H32^2),"")</f>
        <v/>
      </c>
    </row>
    <row r="33">
      <c r="A33" t="inlineStr">
        <is>
          <t>2026-10-18T16:15:50.673-07:00</t>
        </is>
      </c>
      <c r="B33" t="inlineStr">
        <is>
          <t>ROTATION_QUAT</t>
        </is>
      </c>
      <c r="C33" t="n">
        <v>382621764</v>
      </c>
      <c r="D33" t="n">
        <v>382608255</v>
      </c>
      <c r="E33" t="n">
        <v>0.017822</v>
      </c>
      <c r="F33" t="n">
        <v>-0.042358</v>
      </c>
      <c r="G33" t="n">
        <v>-0.406799</v>
      </c>
      <c r="H33" t="n">
        <v>0.912354</v>
      </c>
      <c r="I33" t="n">
        <v>0</v>
      </c>
      <c r="J33" t="inlineStr">
        <is>
          <t>I (382893) IMU: IMU|1|382621764|382608255|ROTATION_QUAT|0.017822|-0.042358|-0.406799|0.912354|0</t>
        </is>
      </c>
      <c r="K33">
        <f>IF(ISNUMBER($D33),($D33-$D$11)/1000000,"")</f>
        <v/>
      </c>
      <c r="L33">
        <f>IF($B33="LINEAR_ACCEL",SQRT($E33^2+$F33^2+$G33^2),"")</f>
        <v/>
      </c>
      <c r="M33">
        <f>IF($B33="GYRO",SQRT($E33^2+$F33^2+$G33^2),"")</f>
        <v/>
      </c>
      <c r="N33">
        <f>IF($B33="ROTATION_QUAT",SQRT($E33^2+$F33^2+$G33^2+$H33^2),"")</f>
        <v/>
      </c>
    </row>
    <row r="34">
      <c r="A34" t="inlineStr">
        <is>
          <t>2026-10-18T16:15:50.678-07:00</t>
        </is>
      </c>
      <c r="B34" t="inlineStr">
        <is>
          <t>LINEAR_ACCEL</t>
        </is>
      </c>
      <c r="C34" t="n">
        <v>382622331</v>
      </c>
      <c r="D34" t="n">
        <v>382608255</v>
      </c>
      <c r="E34" t="n">
        <v>0.00391</v>
      </c>
      <c r="F34" t="n">
        <v>-0.00391</v>
      </c>
      <c r="G34" t="n">
        <v>0.00391</v>
      </c>
      <c r="I34" t="n">
        <v>3</v>
      </c>
      <c r="J34" t="inlineStr">
        <is>
          <t>I (382893) IMU: IMU|1|382622331|382608255|LINEAR_ACCEL|0.00391|-0.00391|0.00391|3</t>
        </is>
      </c>
      <c r="K34">
        <f>IF(ISNUMBER($D34),($D34-$D$11)/1000000,"")</f>
        <v/>
      </c>
      <c r="L34">
        <f>IF($B34="LINEAR_ACCEL",SQRT($E34^2+$F34^2+$G34^2),"")</f>
        <v/>
      </c>
      <c r="M34">
        <f>IF($B34="GYRO",SQRT($E34^2+$F34^2+$G34^2),"")</f>
        <v/>
      </c>
      <c r="N34">
        <f>IF($B34="ROTATION_QUAT",SQRT($E34^2+$F34^2+$G34^2+$H34^2),"")</f>
        <v/>
      </c>
    </row>
    <row r="35">
      <c r="A35" t="inlineStr">
        <is>
          <t>2026-10-18T16:15:50.759-07:00</t>
        </is>
      </c>
      <c r="B35" t="inlineStr">
        <is>
          <t>GYRO</t>
        </is>
      </c>
      <c r="C35" t="n">
        <v>382711312</v>
      </c>
      <c r="D35" t="n">
        <v>382707572</v>
      </c>
      <c r="E35" t="n">
        <v>0.00195</v>
      </c>
      <c r="F35" t="n">
        <v>0</v>
      </c>
      <c r="G35" t="n">
        <v>0</v>
      </c>
      <c r="I35" t="n">
        <v>0</v>
      </c>
      <c r="J35" t="inlineStr">
        <is>
          <t>I (382983) IMU: IMU|1|382711312|382707572|GYRO|0.00195|0.00000|0.00000|0</t>
        </is>
      </c>
      <c r="K35">
        <f>IF(ISNUMBER($D35),($D35-$D$11)/1000000,"")</f>
        <v/>
      </c>
      <c r="L35">
        <f>IF($B35="LINEAR_ACCEL",SQRT($E35^2+$F35^2+$G35^2),"")</f>
        <v/>
      </c>
      <c r="M35">
        <f>IF($B35="GYRO",SQRT($E35^2+$F35^2+$G35^2),"")</f>
        <v/>
      </c>
      <c r="N35">
        <f>IF($B35="ROTATION_QUAT",SQRT($E35^2+$F35^2+$G35^2+$H35^2),"")</f>
        <v/>
      </c>
    </row>
    <row r="36">
      <c r="A36" t="inlineStr">
        <is>
          <t>2026-10-18T16:15:50.773-07:00</t>
        </is>
      </c>
      <c r="B36" t="inlineStr">
        <is>
          <t>ROTATION_QUAT</t>
        </is>
      </c>
      <c r="C36" t="n">
        <v>382721761</v>
      </c>
      <c r="D36" t="n">
        <v>382708155</v>
      </c>
      <c r="E36" t="n">
        <v>0.017883</v>
      </c>
      <c r="F36" t="n">
        <v>-0.042297</v>
      </c>
      <c r="G36" t="n">
        <v>-0.406799</v>
      </c>
      <c r="H36" t="n">
        <v>0.912354</v>
      </c>
      <c r="I36" t="n">
        <v>0</v>
      </c>
      <c r="J36" t="inlineStr">
        <is>
          <t>I (382993) IMU: IMU|1|382721761|382708155|ROTATION_QUAT|0.017883|-0.042297|-0.406799|0.912354|0</t>
        </is>
      </c>
      <c r="K36">
        <f>IF(ISNUMBER($D36),($D36-$D$11)/1000000,"")</f>
        <v/>
      </c>
      <c r="L36">
        <f>IF($B36="LINEAR_ACCEL",SQRT($E36^2+$F36^2+$G36^2),"")</f>
        <v/>
      </c>
      <c r="M36">
        <f>IF($B36="GYRO",SQRT($E36^2+$F36^2+$G36^2),"")</f>
        <v/>
      </c>
      <c r="N36">
        <f>IF($B36="ROTATION_QUAT",SQRT($E36^2+$F36^2+$G36^2+$H36^2),"")</f>
        <v/>
      </c>
    </row>
    <row r="37">
      <c r="A37" t="inlineStr">
        <is>
          <t>2026-10-18T16:15:50.778-07:00</t>
        </is>
      </c>
      <c r="B37" t="inlineStr">
        <is>
          <t>LINEAR_ACCEL</t>
        </is>
      </c>
      <c r="C37" t="n">
        <v>382722328</v>
      </c>
      <c r="D37" t="n">
        <v>382708155</v>
      </c>
      <c r="E37" t="n">
        <v>0.00391</v>
      </c>
      <c r="F37" t="n">
        <v>-0.00391</v>
      </c>
      <c r="G37" t="n">
        <v>-0.00391</v>
      </c>
      <c r="I37" t="n">
        <v>3</v>
      </c>
      <c r="J37" t="inlineStr">
        <is>
          <t>I (382993) IMU: IMU|1|382722328|382708155|LINEAR_ACCEL|0.00391|-0.00391|-0.00391|3</t>
        </is>
      </c>
      <c r="K37">
        <f>IF(ISNUMBER($D37),($D37-$D$11)/1000000,"")</f>
        <v/>
      </c>
      <c r="L37">
        <f>IF($B37="LINEAR_ACCEL",SQRT($E37^2+$F37^2+$G37^2),"")</f>
        <v/>
      </c>
      <c r="M37">
        <f>IF($B37="GYRO",SQRT($E37^2+$F37^2+$G37^2),"")</f>
        <v/>
      </c>
      <c r="N37">
        <f>IF($B37="ROTATION_QUAT",SQRT($E37^2+$F37^2+$G37^2+$H37^2),"")</f>
        <v/>
      </c>
    </row>
    <row r="38">
      <c r="A38" t="inlineStr">
        <is>
          <t>2026-10-18T16:15:50.858-07:00</t>
        </is>
      </c>
      <c r="B38" t="inlineStr">
        <is>
          <t>GYRO</t>
        </is>
      </c>
      <c r="C38" t="n">
        <v>382811316</v>
      </c>
      <c r="D38" t="n">
        <v>382808172</v>
      </c>
      <c r="E38" t="n">
        <v>-0.00195</v>
      </c>
      <c r="F38" t="n">
        <v>0</v>
      </c>
      <c r="G38" t="n">
        <v>0</v>
      </c>
      <c r="I38" t="n">
        <v>0</v>
      </c>
      <c r="J38" t="inlineStr">
        <is>
          <t>I (383083) IMU: IMU|1|382811316|382808172|GYRO|-0.00195|0.00000|0.00000|0</t>
        </is>
      </c>
      <c r="K38">
        <f>IF(ISNUMBER($D38),($D38-$D$11)/1000000,"")</f>
        <v/>
      </c>
      <c r="L38">
        <f>IF($B38="LINEAR_ACCEL",SQRT($E38^2+$F38^2+$G38^2),"")</f>
        <v/>
      </c>
      <c r="M38">
        <f>IF($B38="GYRO",SQRT($E38^2+$F38^2+$G38^2),"")</f>
        <v/>
      </c>
      <c r="N38">
        <f>IF($B38="ROTATION_QUAT",SQRT($E38^2+$F38^2+$G38^2+$H38^2),"")</f>
        <v/>
      </c>
    </row>
    <row r="39">
      <c r="A39" t="inlineStr">
        <is>
          <t>2026-10-18T16:15:50.873-07:00</t>
        </is>
      </c>
      <c r="B39" t="inlineStr">
        <is>
          <t>ROTATION_QUAT</t>
        </is>
      </c>
      <c r="C39" t="n">
        <v>382821763</v>
      </c>
      <c r="D39" t="n">
        <v>382808255</v>
      </c>
      <c r="E39" t="n">
        <v>0.017944</v>
      </c>
      <c r="F39" t="n">
        <v>-0.042297</v>
      </c>
      <c r="G39" t="n">
        <v>-0.406799</v>
      </c>
      <c r="H39" t="n">
        <v>0.912354</v>
      </c>
      <c r="I39" t="n">
        <v>0</v>
      </c>
      <c r="J39" t="inlineStr">
        <is>
          <t>I (383093) IMU: IMU|1|382821763|382808255|ROTATION_QUAT|0.017944|-0.042297|-0.406799|0.912354|0</t>
        </is>
      </c>
      <c r="K39">
        <f>IF(ISNUMBER($D39),($D39-$D$11)/1000000,"")</f>
        <v/>
      </c>
      <c r="L39">
        <f>IF($B39="LINEAR_ACCEL",SQRT($E39^2+$F39^2+$G39^2),"")</f>
        <v/>
      </c>
      <c r="M39">
        <f>IF($B39="GYRO",SQRT($E39^2+$F39^2+$G39^2),"")</f>
        <v/>
      </c>
      <c r="N39">
        <f>IF($B39="ROTATION_QUAT",SQRT($E39^2+$F39^2+$G39^2+$H39^2),"")</f>
        <v/>
      </c>
    </row>
    <row r="40">
      <c r="A40" t="inlineStr">
        <is>
          <t>2026-10-18T16:15:50.878-07:00</t>
        </is>
      </c>
      <c r="B40" t="inlineStr">
        <is>
          <t>LINEAR_ACCEL</t>
        </is>
      </c>
      <c r="C40" t="n">
        <v>382822331</v>
      </c>
      <c r="D40" t="n">
        <v>382808255</v>
      </c>
      <c r="E40" t="n">
        <v>0.00391</v>
      </c>
      <c r="F40" t="n">
        <v>-0.00391</v>
      </c>
      <c r="G40" t="n">
        <v>-0.00391</v>
      </c>
      <c r="I40" t="n">
        <v>3</v>
      </c>
      <c r="J40" t="inlineStr">
        <is>
          <t>I (383093) IMU: IMU|1|382822331|382808255|LINEAR_ACCEL|0.00391|-0.00391|-0.00391|3</t>
        </is>
      </c>
      <c r="K40">
        <f>IF(ISNUMBER($D40),($D40-$D$11)/1000000,"")</f>
        <v/>
      </c>
      <c r="L40">
        <f>IF($B40="LINEAR_ACCEL",SQRT($E40^2+$F40^2+$G40^2),"")</f>
        <v/>
      </c>
      <c r="M40">
        <f>IF($B40="GYRO",SQRT($E40^2+$F40^2+$G40^2),"")</f>
        <v/>
      </c>
      <c r="N40">
        <f>IF($B40="ROTATION_QUAT",SQRT($E40^2+$F40^2+$G40^2+$H40^2),"")</f>
        <v/>
      </c>
    </row>
    <row r="41">
      <c r="A41" t="inlineStr">
        <is>
          <t>2026-10-18T16:15:50.958-07:00</t>
        </is>
      </c>
      <c r="B41" t="inlineStr">
        <is>
          <t>GYRO</t>
        </is>
      </c>
      <c r="C41" t="n">
        <v>382911307</v>
      </c>
      <c r="D41" t="n">
        <v>382908172</v>
      </c>
      <c r="E41" t="n">
        <v>0</v>
      </c>
      <c r="F41" t="n">
        <v>-0.00195</v>
      </c>
      <c r="G41" t="n">
        <v>0</v>
      </c>
      <c r="I41" t="n">
        <v>0</v>
      </c>
      <c r="J41" t="inlineStr">
        <is>
          <t>I (383183) IMU: IMU|1|382911307|382908172|GYRO|0.00000|-0.00195|0.00000|0</t>
        </is>
      </c>
      <c r="K41">
        <f>IF(ISNUMBER($D41),($D41-$D$11)/1000000,"")</f>
        <v/>
      </c>
      <c r="L41">
        <f>IF($B41="LINEAR_ACCEL",SQRT($E41^2+$F41^2+$G41^2),"")</f>
        <v/>
      </c>
      <c r="M41">
        <f>IF($B41="GYRO",SQRT($E41^2+$F41^2+$G41^2),"")</f>
        <v/>
      </c>
      <c r="N41">
        <f>IF($B41="ROTATION_QUAT",SQRT($E41^2+$F41^2+$G41^2+$H41^2),"")</f>
        <v/>
      </c>
    </row>
    <row r="42">
      <c r="A42" t="inlineStr">
        <is>
          <t>2026-10-18T16:15:50.973-07:00</t>
        </is>
      </c>
      <c r="B42" t="inlineStr">
        <is>
          <t>ROTATION_QUAT</t>
        </is>
      </c>
      <c r="C42" t="n">
        <v>382921762</v>
      </c>
      <c r="D42" t="n">
        <v>382908255</v>
      </c>
      <c r="E42" t="n">
        <v>0.017883</v>
      </c>
      <c r="F42" t="n">
        <v>-0.042297</v>
      </c>
      <c r="G42" t="n">
        <v>-0.406799</v>
      </c>
      <c r="H42" t="n">
        <v>0.912354</v>
      </c>
      <c r="I42" t="n">
        <v>0</v>
      </c>
      <c r="J42" t="inlineStr">
        <is>
          <t>I (383193) IMU: IMU|1|382921762|382908255|ROTATION_QUAT|0.017883|-0.042297|-0.406799|0.912354|0</t>
        </is>
      </c>
      <c r="K42">
        <f>IF(ISNUMBER($D42),($D42-$D$11)/1000000,"")</f>
        <v/>
      </c>
      <c r="L42">
        <f>IF($B42="LINEAR_ACCEL",SQRT($E42^2+$F42^2+$G42^2),"")</f>
        <v/>
      </c>
      <c r="M42">
        <f>IF($B42="GYRO",SQRT($E42^2+$F42^2+$G42^2),"")</f>
        <v/>
      </c>
      <c r="N42">
        <f>IF($B42="ROTATION_QUAT",SQRT($E42^2+$F42^2+$G42^2+$H42^2),"")</f>
        <v/>
      </c>
    </row>
    <row r="43">
      <c r="A43" t="inlineStr">
        <is>
          <t>2026-10-18T16:15:50.978-07:00</t>
        </is>
      </c>
      <c r="B43" t="inlineStr">
        <is>
          <t>LINEAR_ACCEL</t>
        </is>
      </c>
      <c r="C43" t="n">
        <v>382922321</v>
      </c>
      <c r="D43" t="n">
        <v>382908255</v>
      </c>
      <c r="E43" t="n">
        <v>0.00391</v>
      </c>
      <c r="F43" t="n">
        <v>0.00391</v>
      </c>
      <c r="G43" t="n">
        <v>-0.00391</v>
      </c>
      <c r="I43" t="n">
        <v>3</v>
      </c>
      <c r="J43" t="inlineStr">
        <is>
          <t>I (383193) IMU: IMU|1|382922321|382908255|LINEAR_ACCEL|0.00391|0.00391|-0.00391|3</t>
        </is>
      </c>
      <c r="K43">
        <f>IF(ISNUMBER($D43),($D43-$D$11)/1000000,"")</f>
        <v/>
      </c>
      <c r="L43">
        <f>IF($B43="LINEAR_ACCEL",SQRT($E43^2+$F43^2+$G43^2),"")</f>
        <v/>
      </c>
      <c r="M43">
        <f>IF($B43="GYRO",SQRT($E43^2+$F43^2+$G43^2),"")</f>
        <v/>
      </c>
      <c r="N43">
        <f>IF($B43="ROTATION_QUAT",SQRT($E43^2+$F43^2+$G43^2+$H43^2),"")</f>
        <v/>
      </c>
    </row>
    <row r="44">
      <c r="A44" t="inlineStr">
        <is>
          <t>2026-10-18T16:15:51.058-07:00</t>
        </is>
      </c>
      <c r="B44" t="inlineStr">
        <is>
          <t>GYRO</t>
        </is>
      </c>
      <c r="C44" t="n">
        <v>383011324</v>
      </c>
      <c r="D44" t="n">
        <v>383008172</v>
      </c>
      <c r="E44" t="n">
        <v>-0.00195</v>
      </c>
      <c r="F44" t="n">
        <v>-0.00195</v>
      </c>
      <c r="G44" t="n">
        <v>0</v>
      </c>
      <c r="I44" t="n">
        <v>0</v>
      </c>
      <c r="J44" t="inlineStr">
        <is>
          <t>I (383283) IMU: IMU|1|383011324|383008172|GYRO|-0.00195|-0.00195|0.00000|0</t>
        </is>
      </c>
      <c r="K44">
        <f>IF(ISNUMBER($D44),($D44-$D$11)/1000000,"")</f>
        <v/>
      </c>
      <c r="L44">
        <f>IF($B44="LINEAR_ACCEL",SQRT($E44^2+$F44^2+$G44^2),"")</f>
        <v/>
      </c>
      <c r="M44">
        <f>IF($B44="GYRO",SQRT($E44^2+$F44^2+$G44^2),"")</f>
        <v/>
      </c>
      <c r="N44">
        <f>IF($B44="ROTATION_QUAT",SQRT($E44^2+$F44^2+$G44^2+$H44^2),"")</f>
        <v/>
      </c>
    </row>
    <row r="45">
      <c r="A45" t="inlineStr">
        <is>
          <t>2026-10-18T16:15:51.073-07:00</t>
        </is>
      </c>
      <c r="B45" t="inlineStr">
        <is>
          <t>ROTATION_QUAT</t>
        </is>
      </c>
      <c r="C45" t="n">
        <v>383021752</v>
      </c>
      <c r="D45" t="n">
        <v>383008255</v>
      </c>
      <c r="E45" t="n">
        <v>0.017883</v>
      </c>
      <c r="F45" t="n">
        <v>-0.042297</v>
      </c>
      <c r="G45" t="n">
        <v>-0.406799</v>
      </c>
      <c r="H45" t="n">
        <v>0.912354</v>
      </c>
      <c r="I45" t="n">
        <v>0</v>
      </c>
      <c r="J45" t="inlineStr">
        <is>
          <t>I (383293) IMU: IMU|1|383021752|383008255|ROTATION_QUAT|0.017883|-0.042297|-0.406799|0.912354|0</t>
        </is>
      </c>
      <c r="K45">
        <f>IF(ISNUMBER($D45),($D45-$D$11)/1000000,"")</f>
        <v/>
      </c>
      <c r="L45">
        <f>IF($B45="LINEAR_ACCEL",SQRT($E45^2+$F45^2+$G45^2),"")</f>
        <v/>
      </c>
      <c r="M45">
        <f>IF($B45="GYRO",SQRT($E45^2+$F45^2+$G45^2),"")</f>
        <v/>
      </c>
      <c r="N45">
        <f>IF($B45="ROTATION_QUAT",SQRT($E45^2+$F45^2+$G45^2+$H45^2),"")</f>
        <v/>
      </c>
    </row>
    <row r="46">
      <c r="A46" t="inlineStr">
        <is>
          <t>2026-10-18T16:15:51.078-07:00</t>
        </is>
      </c>
      <c r="B46" t="inlineStr">
        <is>
          <t>LINEAR_ACCEL</t>
        </is>
      </c>
      <c r="C46" t="n">
        <v>383022319</v>
      </c>
      <c r="D46" t="n">
        <v>383008255</v>
      </c>
      <c r="E46" t="n">
        <v>0.00391</v>
      </c>
      <c r="F46" t="n">
        <v>-0.00391</v>
      </c>
      <c r="G46" t="n">
        <v>-0.00391</v>
      </c>
      <c r="I46" t="n">
        <v>3</v>
      </c>
      <c r="J46" t="inlineStr">
        <is>
          <t>I (383293) IMU: IMU|1|383022319|383008255|LINEAR_ACCEL|0.00391|-0.00391|-0.00391|3</t>
        </is>
      </c>
      <c r="K46">
        <f>IF(ISNUMBER($D46),($D46-$D$11)/1000000,"")</f>
        <v/>
      </c>
      <c r="L46">
        <f>IF($B46="LINEAR_ACCEL",SQRT($E46^2+$F46^2+$G46^2),"")</f>
        <v/>
      </c>
      <c r="M46">
        <f>IF($B46="GYRO",SQRT($E46^2+$F46^2+$G46^2),"")</f>
        <v/>
      </c>
      <c r="N46">
        <f>IF($B46="ROTATION_QUAT",SQRT($E46^2+$F46^2+$G46^2+$H46^2),"")</f>
        <v/>
      </c>
    </row>
    <row r="47">
      <c r="A47" t="inlineStr">
        <is>
          <t>2026-10-18T16:15:51.158-07:00</t>
        </is>
      </c>
      <c r="B47" t="inlineStr">
        <is>
          <t>GYRO</t>
        </is>
      </c>
      <c r="C47" t="n">
        <v>383111340</v>
      </c>
      <c r="D47" t="n">
        <v>383108172</v>
      </c>
      <c r="E47" t="n">
        <v>0</v>
      </c>
      <c r="F47" t="n">
        <v>0</v>
      </c>
      <c r="G47" t="n">
        <v>0</v>
      </c>
      <c r="I47" t="n">
        <v>0</v>
      </c>
      <c r="J47" t="inlineStr">
        <is>
          <t>I (383383) IMU: IMU|1|383111340|383108172|GYRO|0.00000|0.00000|0.00000|0</t>
        </is>
      </c>
      <c r="K47">
        <f>IF(ISNUMBER($D47),($D47-$D$11)/1000000,"")</f>
        <v/>
      </c>
      <c r="L47">
        <f>IF($B47="LINEAR_ACCEL",SQRT($E47^2+$F47^2+$G47^2),"")</f>
        <v/>
      </c>
      <c r="M47">
        <f>IF($B47="GYRO",SQRT($E47^2+$F47^2+$G47^2),"")</f>
        <v/>
      </c>
      <c r="N47">
        <f>IF($B47="ROTATION_QUAT",SQRT($E47^2+$F47^2+$G47^2+$H47^2),"")</f>
        <v/>
      </c>
    </row>
    <row r="48">
      <c r="A48" t="inlineStr">
        <is>
          <t>2026-10-18T16:15:51.173-07:00</t>
        </is>
      </c>
      <c r="B48" t="inlineStr">
        <is>
          <t>ROTATION_QUAT</t>
        </is>
      </c>
      <c r="C48" t="n">
        <v>383121736</v>
      </c>
      <c r="D48" t="n">
        <v>383108231</v>
      </c>
      <c r="E48" t="n">
        <v>0.017944</v>
      </c>
      <c r="F48" t="n">
        <v>-0.042297</v>
      </c>
      <c r="G48" t="n">
        <v>-0.406799</v>
      </c>
      <c r="H48" t="n">
        <v>0.912354</v>
      </c>
      <c r="I48" t="n">
        <v>0</v>
      </c>
      <c r="J48" t="inlineStr">
        <is>
          <t>I (383393) IMU: IMU|1|383121736|383108231|ROTATION_QUAT|0.017944|-0.042297|-0.406799|0.912354|0</t>
        </is>
      </c>
      <c r="K48">
        <f>IF(ISNUMBER($D48),($D48-$D$11)/1000000,"")</f>
        <v/>
      </c>
      <c r="L48">
        <f>IF($B48="LINEAR_ACCEL",SQRT($E48^2+$F48^2+$G48^2),"")</f>
        <v/>
      </c>
      <c r="M48">
        <f>IF($B48="GYRO",SQRT($E48^2+$F48^2+$G48^2),"")</f>
        <v/>
      </c>
      <c r="N48">
        <f>IF($B48="ROTATION_QUAT",SQRT($E48^2+$F48^2+$G48^2+$H48^2),"")</f>
        <v/>
      </c>
    </row>
    <row r="49">
      <c r="A49" t="inlineStr">
        <is>
          <t>2026-10-18T16:15:51.178-07:00</t>
        </is>
      </c>
      <c r="B49" t="inlineStr">
        <is>
          <t>LINEAR_ACCEL</t>
        </is>
      </c>
      <c r="C49" t="n">
        <v>383122303</v>
      </c>
      <c r="D49" t="n">
        <v>383108231</v>
      </c>
      <c r="E49" t="n">
        <v>0.00391</v>
      </c>
      <c r="F49" t="n">
        <v>-0.00391</v>
      </c>
      <c r="G49" t="n">
        <v>-0.04297</v>
      </c>
      <c r="I49" t="n">
        <v>3</v>
      </c>
      <c r="J49" t="inlineStr">
        <is>
          <t>I (383393) IMU: IMU|1|383122303|383108231|LINEAR_ACCEL|0.00391|-0.00391|-0.04297|3</t>
        </is>
      </c>
      <c r="K49">
        <f>IF(ISNUMBER($D49),($D49-$D$11)/1000000,"")</f>
        <v/>
      </c>
      <c r="L49">
        <f>IF($B49="LINEAR_ACCEL",SQRT($E49^2+$F49^2+$G49^2),"")</f>
        <v/>
      </c>
      <c r="M49">
        <f>IF($B49="GYRO",SQRT($E49^2+$F49^2+$G49^2),"")</f>
        <v/>
      </c>
      <c r="N49">
        <f>IF($B49="ROTATION_QUAT",SQRT($E49^2+$F49^2+$G49^2+$H49^2),"")</f>
        <v/>
      </c>
    </row>
    <row r="50">
      <c r="A50" t="inlineStr">
        <is>
          <t>2026-10-18T16:15:51.258-07:00</t>
        </is>
      </c>
      <c r="B50" t="inlineStr">
        <is>
          <t>GYRO</t>
        </is>
      </c>
      <c r="C50" t="n">
        <v>383211377</v>
      </c>
      <c r="D50" t="n">
        <v>383208172</v>
      </c>
      <c r="E50" t="n">
        <v>0.00195</v>
      </c>
      <c r="F50" t="n">
        <v>0</v>
      </c>
      <c r="G50" t="n">
        <v>0</v>
      </c>
      <c r="I50" t="n">
        <v>0</v>
      </c>
      <c r="J50" t="inlineStr">
        <is>
          <t>I (383483) IMU: IMU|1|383211377|383208172|GYRO|0.00195|0.00000|0.00000|0</t>
        </is>
      </c>
      <c r="K50">
        <f>IF(ISNUMBER($D50),($D50-$D$11)/1000000,"")</f>
        <v/>
      </c>
      <c r="L50">
        <f>IF($B50="LINEAR_ACCEL",SQRT($E50^2+$F50^2+$G50^2),"")</f>
        <v/>
      </c>
      <c r="M50">
        <f>IF($B50="GYRO",SQRT($E50^2+$F50^2+$G50^2),"")</f>
        <v/>
      </c>
      <c r="N50">
        <f>IF($B50="ROTATION_QUAT",SQRT($E50^2+$F50^2+$G50^2+$H50^2),"")</f>
        <v/>
      </c>
    </row>
    <row r="51">
      <c r="A51" t="inlineStr">
        <is>
          <t>2026-10-18T16:15:51.273-07:00</t>
        </is>
      </c>
      <c r="B51" t="inlineStr">
        <is>
          <t>ROTATION_QUAT</t>
        </is>
      </c>
      <c r="C51" t="n">
        <v>383221782</v>
      </c>
      <c r="D51" t="n">
        <v>383208255</v>
      </c>
      <c r="E51" t="n">
        <v>0.018005</v>
      </c>
      <c r="F51" t="n">
        <v>-0.042358</v>
      </c>
      <c r="G51" t="n">
        <v>-0.406799</v>
      </c>
      <c r="H51" t="n">
        <v>0.912354</v>
      </c>
      <c r="I51" t="n">
        <v>0</v>
      </c>
      <c r="J51" t="inlineStr">
        <is>
          <t>I (383493) IMU: IMU|1|383221782|383208255|ROTATION_QUAT|0.018005|-0.042358|-0.406799|0.912354|0</t>
        </is>
      </c>
      <c r="K51">
        <f>IF(ISNUMBER($D51),($D51-$D$11)/1000000,"")</f>
        <v/>
      </c>
      <c r="L51">
        <f>IF($B51="LINEAR_ACCEL",SQRT($E51^2+$F51^2+$G51^2),"")</f>
        <v/>
      </c>
      <c r="M51">
        <f>IF($B51="GYRO",SQRT($E51^2+$F51^2+$G51^2),"")</f>
        <v/>
      </c>
      <c r="N51">
        <f>IF($B51="ROTATION_QUAT",SQRT($E51^2+$F51^2+$G51^2+$H51^2),"")</f>
        <v/>
      </c>
    </row>
    <row r="52">
      <c r="A52" t="inlineStr">
        <is>
          <t>2026-10-18T16:15:51.278-07:00</t>
        </is>
      </c>
      <c r="B52" t="inlineStr">
        <is>
          <t>LINEAR_ACCEL</t>
        </is>
      </c>
      <c r="C52" t="n">
        <v>383222349</v>
      </c>
      <c r="D52" t="n">
        <v>383208255</v>
      </c>
      <c r="E52" t="n">
        <v>0.00391</v>
      </c>
      <c r="F52" t="n">
        <v>-0.00391</v>
      </c>
      <c r="G52" t="n">
        <v>0.00391</v>
      </c>
      <c r="I52" t="n">
        <v>3</v>
      </c>
      <c r="J52" t="inlineStr">
        <is>
          <t>I (383493) IMU: IMU|1|383222349|383208255|LINEAR_ACCEL|0.00391|-0.00391|0.00391|3</t>
        </is>
      </c>
      <c r="K52">
        <f>IF(ISNUMBER($D52),($D52-$D$11)/1000000,"")</f>
        <v/>
      </c>
      <c r="L52">
        <f>IF($B52="LINEAR_ACCEL",SQRT($E52^2+$F52^2+$G52^2),"")</f>
        <v/>
      </c>
      <c r="M52">
        <f>IF($B52="GYRO",SQRT($E52^2+$F52^2+$G52^2),"")</f>
        <v/>
      </c>
      <c r="N52">
        <f>IF($B52="ROTATION_QUAT",SQRT($E52^2+$F52^2+$G52^2+$H52^2),"")</f>
        <v/>
      </c>
    </row>
    <row r="53">
      <c r="A53" t="inlineStr">
        <is>
          <t>2026-10-18T16:15:51.388-07:00</t>
        </is>
      </c>
      <c r="B53" t="inlineStr">
        <is>
          <t>GYRO</t>
        </is>
      </c>
      <c r="C53" t="n">
        <v>383327903</v>
      </c>
      <c r="D53" t="n">
        <v>383308183</v>
      </c>
      <c r="E53" t="n">
        <v>-0.00391</v>
      </c>
      <c r="F53" t="n">
        <v>0</v>
      </c>
      <c r="G53" t="n">
        <v>0.00195</v>
      </c>
      <c r="I53" t="n">
        <v>0</v>
      </c>
      <c r="J53" t="inlineStr">
        <is>
          <t>I (383593) IMU: IMU|1|383327903|383308183|GYRO|-0.00391|0.00000|0.00195|0</t>
        </is>
      </c>
      <c r="K53">
        <f>IF(ISNUMBER($D53),($D53-$D$11)/1000000,"")</f>
        <v/>
      </c>
      <c r="L53">
        <f>IF($B53="LINEAR_ACCEL",SQRT($E53^2+$F53^2+$G53^2),"")</f>
        <v/>
      </c>
      <c r="M53">
        <f>IF($B53="GYRO",SQRT($E53^2+$F53^2+$G53^2),"")</f>
        <v/>
      </c>
      <c r="N53">
        <f>IF($B53="ROTATION_QUAT",SQRT($E53^2+$F53^2+$G53^2+$H53^2),"")</f>
        <v/>
      </c>
    </row>
    <row r="54">
      <c r="A54" t="inlineStr">
        <is>
          <t>2026-10-18T16:15:51.394-07:00</t>
        </is>
      </c>
      <c r="B54" t="inlineStr">
        <is>
          <t>ROTATION_QUAT</t>
        </is>
      </c>
      <c r="C54" t="n">
        <v>383341823</v>
      </c>
      <c r="D54" t="n">
        <v>383311871</v>
      </c>
      <c r="E54" t="n">
        <v>0.017944</v>
      </c>
      <c r="F54" t="n">
        <v>-0.042358</v>
      </c>
      <c r="G54" t="n">
        <v>-0.406799</v>
      </c>
      <c r="H54" t="n">
        <v>0.912354</v>
      </c>
      <c r="I54" t="n">
        <v>0</v>
      </c>
      <c r="J54" t="inlineStr">
        <is>
          <t>I (383613) IMU: IMU|1|383341823|383311871|ROTATION_QUAT|0.017944|-0.042358|-0.406799|0.912354|0</t>
        </is>
      </c>
      <c r="K54">
        <f>IF(ISNUMBER($D54),($D54-$D$11)/1000000,"")</f>
        <v/>
      </c>
      <c r="L54">
        <f>IF($B54="LINEAR_ACCEL",SQRT($E54^2+$F54^2+$G54^2),"")</f>
        <v/>
      </c>
      <c r="M54">
        <f>IF($B54="GYRO",SQRT($E54^2+$F54^2+$G54^2),"")</f>
        <v/>
      </c>
      <c r="N54">
        <f>IF($B54="ROTATION_QUAT",SQRT($E54^2+$F54^2+$G54^2+$H54^2),"")</f>
        <v/>
      </c>
    </row>
    <row r="55">
      <c r="A55" t="inlineStr">
        <is>
          <t>2026-10-18T16:15:51.399-07:00</t>
        </is>
      </c>
      <c r="B55" t="inlineStr">
        <is>
          <t>LINEAR_ACCEL</t>
        </is>
      </c>
      <c r="C55" t="n">
        <v>383342406</v>
      </c>
      <c r="D55" t="n">
        <v>383311871</v>
      </c>
      <c r="E55" t="n">
        <v>0.00391</v>
      </c>
      <c r="F55" t="n">
        <v>-0.00391</v>
      </c>
      <c r="G55" t="n">
        <v>0.00391</v>
      </c>
      <c r="I55" t="n">
        <v>3</v>
      </c>
      <c r="J55" t="inlineStr">
        <is>
          <t>I (383613) IMU: IMU|1|383342406|383311871|LINEAR_ACCEL|0.00391|-0.00391|0.00391|3</t>
        </is>
      </c>
      <c r="K55">
        <f>IF(ISNUMBER($D55),($D55-$D$11)/1000000,"")</f>
        <v/>
      </c>
      <c r="L55">
        <f>IF($B55="LINEAR_ACCEL",SQRT($E55^2+$F55^2+$G55^2),"")</f>
        <v/>
      </c>
      <c r="M55">
        <f>IF($B55="GYRO",SQRT($E55^2+$F55^2+$G55^2),"")</f>
        <v/>
      </c>
      <c r="N55">
        <f>IF($B55="ROTATION_QUAT",SQRT($E55^2+$F55^2+$G55^2+$H55^2),"")</f>
        <v/>
      </c>
    </row>
    <row r="56">
      <c r="A56" t="inlineStr">
        <is>
          <t>2026-10-18T16:15:51.458-07:00</t>
        </is>
      </c>
      <c r="B56" t="inlineStr">
        <is>
          <t>GYRO</t>
        </is>
      </c>
      <c r="C56" t="n">
        <v>383411448</v>
      </c>
      <c r="D56" t="n">
        <v>383408172</v>
      </c>
      <c r="E56" t="n">
        <v>-0.00586</v>
      </c>
      <c r="F56" t="n">
        <v>0.00195</v>
      </c>
      <c r="G56" t="n">
        <v>-0.00195</v>
      </c>
      <c r="I56" t="n">
        <v>0</v>
      </c>
      <c r="J56" t="inlineStr">
        <is>
          <t>I (383683) IMU: IMU|1|383411448|383408172|GYRO|-0.00586|0.00195|-0.00195|0</t>
        </is>
      </c>
      <c r="K56">
        <f>IF(ISNUMBER($D56),($D56-$D$11)/1000000,"")</f>
        <v/>
      </c>
      <c r="L56">
        <f>IF($B56="LINEAR_ACCEL",SQRT($E56^2+$F56^2+$G56^2),"")</f>
        <v/>
      </c>
      <c r="M56">
        <f>IF($B56="GYRO",SQRT($E56^2+$F56^2+$G56^2),"")</f>
        <v/>
      </c>
      <c r="N56">
        <f>IF($B56="ROTATION_QUAT",SQRT($E56^2+$F56^2+$G56^2+$H56^2),"")</f>
        <v/>
      </c>
    </row>
    <row r="57">
      <c r="A57" t="inlineStr">
        <is>
          <t>2026-10-18T16:15:51.473-07:00</t>
        </is>
      </c>
      <c r="B57" t="inlineStr">
        <is>
          <t>ROTATION_QUAT</t>
        </is>
      </c>
      <c r="C57" t="n">
        <v>383421819</v>
      </c>
      <c r="D57" t="n">
        <v>383408243</v>
      </c>
      <c r="E57" t="n">
        <v>0.017944</v>
      </c>
      <c r="F57" t="n">
        <v>-0.042297</v>
      </c>
      <c r="G57" t="n">
        <v>-0.406799</v>
      </c>
      <c r="H57" t="n">
        <v>0.912354</v>
      </c>
      <c r="I57" t="n">
        <v>0</v>
      </c>
      <c r="J57" t="inlineStr">
        <is>
          <t>I (383693) IMU: IMU|1|383421819|383408243|ROTATION_QUAT|0.017944|-0.042297|-0.406799|0.912354|0</t>
        </is>
      </c>
      <c r="K57">
        <f>IF(ISNUMBER($D57),($D57-$D$11)/1000000,"")</f>
        <v/>
      </c>
      <c r="L57">
        <f>IF($B57="LINEAR_ACCEL",SQRT($E57^2+$F57^2+$G57^2),"")</f>
        <v/>
      </c>
      <c r="M57">
        <f>IF($B57="GYRO",SQRT($E57^2+$F57^2+$G57^2),"")</f>
        <v/>
      </c>
      <c r="N57">
        <f>IF($B57="ROTATION_QUAT",SQRT($E57^2+$F57^2+$G57^2+$H57^2),"")</f>
        <v/>
      </c>
    </row>
    <row r="58">
      <c r="A58" t="inlineStr">
        <is>
          <t>2026-10-18T16:15:51.478-07:00</t>
        </is>
      </c>
      <c r="B58" t="inlineStr">
        <is>
          <t>LINEAR_ACCEL</t>
        </is>
      </c>
      <c r="C58" t="n">
        <v>383422386</v>
      </c>
      <c r="D58" t="n">
        <v>383408243</v>
      </c>
      <c r="E58" t="n">
        <v>0.00391</v>
      </c>
      <c r="F58" t="n">
        <v>0.00391</v>
      </c>
      <c r="G58" t="n">
        <v>0.00391</v>
      </c>
      <c r="I58" t="n">
        <v>3</v>
      </c>
      <c r="J58" t="inlineStr">
        <is>
          <t>I (383693) IMU: IMU|1|383422386|383408243|LINEAR_ACCEL|0.00391|0.00391|0.00391|3</t>
        </is>
      </c>
      <c r="K58">
        <f>IF(ISNUMBER($D58),($D58-$D$11)/1000000,"")</f>
        <v/>
      </c>
      <c r="L58">
        <f>IF($B58="LINEAR_ACCEL",SQRT($E58^2+$F58^2+$G58^2),"")</f>
        <v/>
      </c>
      <c r="M58">
        <f>IF($B58="GYRO",SQRT($E58^2+$F58^2+$G58^2),"")</f>
        <v/>
      </c>
      <c r="N58">
        <f>IF($B58="ROTATION_QUAT",SQRT($E58^2+$F58^2+$G58^2+$H58^2),"")</f>
        <v/>
      </c>
    </row>
    <row r="59">
      <c r="A59" t="inlineStr">
        <is>
          <t>2026-10-18T16:15:51.559-07:00</t>
        </is>
      </c>
      <c r="B59" t="inlineStr">
        <is>
          <t>GYRO</t>
        </is>
      </c>
      <c r="C59" t="n">
        <v>383511463</v>
      </c>
      <c r="D59" t="n">
        <v>383508172</v>
      </c>
      <c r="E59" t="n">
        <v>0</v>
      </c>
      <c r="F59" t="n">
        <v>0</v>
      </c>
      <c r="G59" t="n">
        <v>0.00195</v>
      </c>
      <c r="I59" t="n">
        <v>0</v>
      </c>
      <c r="J59" t="inlineStr">
        <is>
          <t>I (383783) IMU: IMU|1|383511463|383508172|GYRO|0.00000|0.00000|0.00195|0</t>
        </is>
      </c>
      <c r="K59">
        <f>IF(ISNUMBER($D59),($D59-$D$11)/1000000,"")</f>
        <v/>
      </c>
      <c r="L59">
        <f>IF($B59="LINEAR_ACCEL",SQRT($E59^2+$F59^2+$G59^2),"")</f>
        <v/>
      </c>
      <c r="M59">
        <f>IF($B59="GYRO",SQRT($E59^2+$F59^2+$G59^2),"")</f>
        <v/>
      </c>
      <c r="N59">
        <f>IF($B59="ROTATION_QUAT",SQRT($E59^2+$F59^2+$G59^2+$H59^2),"")</f>
        <v/>
      </c>
    </row>
    <row r="60">
      <c r="A60" t="inlineStr">
        <is>
          <t>2026-10-18T16:15:51.573-07:00</t>
        </is>
      </c>
      <c r="B60" t="inlineStr">
        <is>
          <t>ROTATION_QUAT</t>
        </is>
      </c>
      <c r="C60" t="n">
        <v>383521843</v>
      </c>
      <c r="D60" t="n">
        <v>383508255</v>
      </c>
      <c r="E60" t="n">
        <v>0.017883</v>
      </c>
      <c r="F60" t="n">
        <v>-0.042297</v>
      </c>
      <c r="G60" t="n">
        <v>-0.406799</v>
      </c>
      <c r="H60" t="n">
        <v>0.912354</v>
      </c>
      <c r="I60" t="n">
        <v>0</v>
      </c>
      <c r="J60" t="inlineStr">
        <is>
          <t>I (383793) IMU: IMU|1|383521843|383508255|ROTATION_QUAT|0.017883|-0.042297|-0.406799|0.912354|0</t>
        </is>
      </c>
      <c r="K60">
        <f>IF(ISNUMBER($D60),($D60-$D$11)/1000000,"")</f>
        <v/>
      </c>
      <c r="L60">
        <f>IF($B60="LINEAR_ACCEL",SQRT($E60^2+$F60^2+$G60^2),"")</f>
        <v/>
      </c>
      <c r="M60">
        <f>IF($B60="GYRO",SQRT($E60^2+$F60^2+$G60^2),"")</f>
        <v/>
      </c>
      <c r="N60">
        <f>IF($B60="ROTATION_QUAT",SQRT($E60^2+$F60^2+$G60^2+$H60^2),"")</f>
        <v/>
      </c>
    </row>
    <row r="61">
      <c r="A61" t="inlineStr">
        <is>
          <t>2026-10-18T16:15:51.578-07:00</t>
        </is>
      </c>
      <c r="B61" t="inlineStr">
        <is>
          <t>LINEAR_ACCEL</t>
        </is>
      </c>
      <c r="C61" t="n">
        <v>383522410</v>
      </c>
      <c r="D61" t="n">
        <v>383508255</v>
      </c>
      <c r="E61" t="n">
        <v>0.00391</v>
      </c>
      <c r="F61" t="n">
        <v>0.00391</v>
      </c>
      <c r="G61" t="n">
        <v>-0.00391</v>
      </c>
      <c r="I61" t="n">
        <v>3</v>
      </c>
      <c r="J61" t="inlineStr">
        <is>
          <t>I (383793) IMU: IMU|1|383522410|383508255|LINEAR_ACCEL|0.00391|0.00391|-0.00391|3</t>
        </is>
      </c>
      <c r="K61">
        <f>IF(ISNUMBER($D61),($D61-$D$11)/1000000,"")</f>
        <v/>
      </c>
      <c r="L61">
        <f>IF($B61="LINEAR_ACCEL",SQRT($E61^2+$F61^2+$G61^2),"")</f>
        <v/>
      </c>
      <c r="M61">
        <f>IF($B61="GYRO",SQRT($E61^2+$F61^2+$G61^2),"")</f>
        <v/>
      </c>
      <c r="N61">
        <f>IF($B61="ROTATION_QUAT",SQRT($E61^2+$F61^2+$G61^2+$H61^2),"")</f>
        <v/>
      </c>
    </row>
    <row r="62">
      <c r="A62" t="inlineStr">
        <is>
          <t>2026-10-18T16:15:51.658-07:00</t>
        </is>
      </c>
      <c r="B62" t="inlineStr">
        <is>
          <t>GYRO</t>
        </is>
      </c>
      <c r="C62" t="n">
        <v>383611495</v>
      </c>
      <c r="D62" t="n">
        <v>383608172</v>
      </c>
      <c r="E62" t="n">
        <v>0.00391</v>
      </c>
      <c r="F62" t="n">
        <v>0</v>
      </c>
      <c r="G62" t="n">
        <v>0.00195</v>
      </c>
      <c r="I62" t="n">
        <v>0</v>
      </c>
      <c r="J62" t="inlineStr">
        <is>
          <t>I (383883) IMU: IMU|1|383611495|383608172|GYRO|0.00391|0.00000|0.00195|0</t>
        </is>
      </c>
      <c r="K62">
        <f>IF(ISNUMBER($D62),($D62-$D$11)/1000000,"")</f>
        <v/>
      </c>
      <c r="L62">
        <f>IF($B62="LINEAR_ACCEL",SQRT($E62^2+$F62^2+$G62^2),"")</f>
        <v/>
      </c>
      <c r="M62">
        <f>IF($B62="GYRO",SQRT($E62^2+$F62^2+$G62^2),"")</f>
        <v/>
      </c>
      <c r="N62">
        <f>IF($B62="ROTATION_QUAT",SQRT($E62^2+$F62^2+$G62^2+$H62^2),"")</f>
        <v/>
      </c>
    </row>
    <row r="63">
      <c r="A63" t="inlineStr">
        <is>
          <t>2026-10-18T16:15:51.673-07:00</t>
        </is>
      </c>
      <c r="B63" t="inlineStr">
        <is>
          <t>ROTATION_QUAT</t>
        </is>
      </c>
      <c r="C63" t="n">
        <v>383621867</v>
      </c>
      <c r="D63" t="n">
        <v>383608355</v>
      </c>
      <c r="E63" t="n">
        <v>0.017883</v>
      </c>
      <c r="F63" t="n">
        <v>-0.042297</v>
      </c>
      <c r="G63" t="n">
        <v>-0.406799</v>
      </c>
      <c r="H63" t="n">
        <v>0.912354</v>
      </c>
      <c r="I63" t="n">
        <v>0</v>
      </c>
      <c r="J63" t="inlineStr">
        <is>
          <t>I (383893) IMU: IMU|1|383621867|383608355|ROTATION_QUAT|0.017883|-0.042297|-0.406799|0.912354|0</t>
        </is>
      </c>
      <c r="K63">
        <f>IF(ISNUMBER($D63),($D63-$D$11)/1000000,"")</f>
        <v/>
      </c>
      <c r="L63">
        <f>IF($B63="LINEAR_ACCEL",SQRT($E63^2+$F63^2+$G63^2),"")</f>
        <v/>
      </c>
      <c r="M63">
        <f>IF($B63="GYRO",SQRT($E63^2+$F63^2+$G63^2),"")</f>
        <v/>
      </c>
      <c r="N63">
        <f>IF($B63="ROTATION_QUAT",SQRT($E63^2+$F63^2+$G63^2+$H63^2),"")</f>
        <v/>
      </c>
    </row>
    <row r="64">
      <c r="A64" t="inlineStr">
        <is>
          <t>2026-10-18T16:15:51.678-07:00</t>
        </is>
      </c>
      <c r="B64" t="inlineStr">
        <is>
          <t>LINEAR_ACCEL</t>
        </is>
      </c>
      <c r="C64" t="n">
        <v>383622434</v>
      </c>
      <c r="D64" t="n">
        <v>383608355</v>
      </c>
      <c r="E64" t="n">
        <v>0.00391</v>
      </c>
      <c r="F64" t="n">
        <v>-0.00391</v>
      </c>
      <c r="G64" t="n">
        <v>-0.04297</v>
      </c>
      <c r="I64" t="n">
        <v>3</v>
      </c>
      <c r="J64" t="inlineStr">
        <is>
          <t>I (383893) IMU: IMU|1|383622434|383608355|LINEAR_ACCEL|0.00391|-0.00391|-0.04297|3</t>
        </is>
      </c>
      <c r="K64">
        <f>IF(ISNUMBER($D64),($D64-$D$11)/1000000,"")</f>
        <v/>
      </c>
      <c r="L64">
        <f>IF($B64="LINEAR_ACCEL",SQRT($E64^2+$F64^2+$G64^2),"")</f>
        <v/>
      </c>
      <c r="M64">
        <f>IF($B64="GYRO",SQRT($E64^2+$F64^2+$G64^2),"")</f>
        <v/>
      </c>
      <c r="N64">
        <f>IF($B64="ROTATION_QUAT",SQRT($E64^2+$F64^2+$G64^2+$H64^2),"")</f>
        <v/>
      </c>
    </row>
    <row r="65">
      <c r="A65" t="inlineStr">
        <is>
          <t>2026-10-18T16:15:51.758-07:00</t>
        </is>
      </c>
      <c r="B65" t="inlineStr">
        <is>
          <t>GYRO</t>
        </is>
      </c>
      <c r="C65" t="n">
        <v>383711539</v>
      </c>
      <c r="D65" t="n">
        <v>383708172</v>
      </c>
      <c r="E65" t="n">
        <v>-0.00195</v>
      </c>
      <c r="F65" t="n">
        <v>0.00195</v>
      </c>
      <c r="G65" t="n">
        <v>0</v>
      </c>
      <c r="I65" t="n">
        <v>0</v>
      </c>
      <c r="J65" t="inlineStr">
        <is>
          <t>I (383983) IMU: IMU|1|383711539|383708172|GYRO|-0.00195|0.00195|0.00000|0</t>
        </is>
      </c>
      <c r="K65">
        <f>IF(ISNUMBER($D65),($D65-$D$11)/1000000,"")</f>
        <v/>
      </c>
      <c r="L65">
        <f>IF($B65="LINEAR_ACCEL",SQRT($E65^2+$F65^2+$G65^2),"")</f>
        <v/>
      </c>
      <c r="M65">
        <f>IF($B65="GYRO",SQRT($E65^2+$F65^2+$G65^2),"")</f>
        <v/>
      </c>
      <c r="N65">
        <f>IF($B65="ROTATION_QUAT",SQRT($E65^2+$F65^2+$G65^2+$H65^2),"")</f>
        <v/>
      </c>
    </row>
    <row r="66">
      <c r="A66" t="inlineStr">
        <is>
          <t>2026-10-18T16:15:51.773-07:00</t>
        </is>
      </c>
      <c r="B66" t="inlineStr">
        <is>
          <t>ROTATION_QUAT</t>
        </is>
      </c>
      <c r="C66" t="n">
        <v>383721923</v>
      </c>
      <c r="D66" t="n">
        <v>383708155</v>
      </c>
      <c r="E66" t="n">
        <v>0.017944</v>
      </c>
      <c r="F66" t="n">
        <v>-0.042358</v>
      </c>
      <c r="G66" t="n">
        <v>-0.406799</v>
      </c>
      <c r="H66" t="n">
        <v>0.912354</v>
      </c>
      <c r="I66" t="n">
        <v>0</v>
      </c>
      <c r="J66" t="inlineStr">
        <is>
          <t>I (383993) IMU: IMU|1|383721923|383708155|ROTATION_QUAT|0.017944|-0.042358|-0.406799|0.912354|0</t>
        </is>
      </c>
      <c r="K66">
        <f>IF(ISNUMBER($D66),($D66-$D$11)/1000000,"")</f>
        <v/>
      </c>
      <c r="L66">
        <f>IF($B66="LINEAR_ACCEL",SQRT($E66^2+$F66^2+$G66^2),"")</f>
        <v/>
      </c>
      <c r="M66">
        <f>IF($B66="GYRO",SQRT($E66^2+$F66^2+$G66^2),"")</f>
        <v/>
      </c>
      <c r="N66">
        <f>IF($B66="ROTATION_QUAT",SQRT($E66^2+$F66^2+$G66^2+$H66^2),"")</f>
        <v/>
      </c>
    </row>
    <row r="67">
      <c r="A67" t="inlineStr">
        <is>
          <t>2026-10-18T16:15:51.778-07:00</t>
        </is>
      </c>
      <c r="B67" t="inlineStr">
        <is>
          <t>LINEAR_ACCEL</t>
        </is>
      </c>
      <c r="C67" t="n">
        <v>383722498</v>
      </c>
      <c r="D67" t="n">
        <v>383708155</v>
      </c>
      <c r="E67" t="n">
        <v>0.00391</v>
      </c>
      <c r="F67" t="n">
        <v>-0.00391</v>
      </c>
      <c r="G67" t="n">
        <v>0.00391</v>
      </c>
      <c r="I67" t="n">
        <v>3</v>
      </c>
      <c r="J67" t="inlineStr">
        <is>
          <t>I (383993) IMU: IMU|1|383722498|383708155|LINEAR_ACCEL|0.00391|-0.00391|0.00391|3</t>
        </is>
      </c>
      <c r="K67">
        <f>IF(ISNUMBER($D67),($D67-$D$11)/1000000,"")</f>
        <v/>
      </c>
      <c r="L67">
        <f>IF($B67="LINEAR_ACCEL",SQRT($E67^2+$F67^2+$G67^2),"")</f>
        <v/>
      </c>
      <c r="M67">
        <f>IF($B67="GYRO",SQRT($E67^2+$F67^2+$G67^2),"")</f>
        <v/>
      </c>
      <c r="N67">
        <f>IF($B67="ROTATION_QUAT",SQRT($E67^2+$F67^2+$G67^2+$H67^2),"")</f>
        <v/>
      </c>
    </row>
    <row r="68">
      <c r="A68" t="inlineStr">
        <is>
          <t>2026-10-18T16:15:51.858-07:00</t>
        </is>
      </c>
      <c r="B68" t="inlineStr">
        <is>
          <t>GYRO</t>
        </is>
      </c>
      <c r="C68" t="n">
        <v>383811556</v>
      </c>
      <c r="D68" t="n">
        <v>383808172</v>
      </c>
      <c r="E68" t="n">
        <v>0.00391</v>
      </c>
      <c r="F68" t="n">
        <v>0</v>
      </c>
      <c r="G68" t="n">
        <v>0</v>
      </c>
      <c r="I68" t="n">
        <v>0</v>
      </c>
      <c r="J68" t="inlineStr">
        <is>
          <t>I (384083) IMU: IMU|1|383811556|383808172|GYRO|0.00391|0.00000|0.00000|0</t>
        </is>
      </c>
      <c r="K68">
        <f>IF(ISNUMBER($D68),($D68-$D$11)/1000000,"")</f>
        <v/>
      </c>
      <c r="L68">
        <f>IF($B68="LINEAR_ACCEL",SQRT($E68^2+$F68^2+$G68^2),"")</f>
        <v/>
      </c>
      <c r="M68">
        <f>IF($B68="GYRO",SQRT($E68^2+$F68^2+$G68^2),"")</f>
        <v/>
      </c>
      <c r="N68">
        <f>IF($B68="ROTATION_QUAT",SQRT($E68^2+$F68^2+$G68^2+$H68^2),"")</f>
        <v/>
      </c>
    </row>
    <row r="69">
      <c r="A69" t="inlineStr">
        <is>
          <t>2026-10-18T16:15:51.873-07:00</t>
        </is>
      </c>
      <c r="B69" t="inlineStr">
        <is>
          <t>ROTATION_QUAT</t>
        </is>
      </c>
      <c r="C69" t="n">
        <v>383821939</v>
      </c>
      <c r="D69" t="n">
        <v>383808255</v>
      </c>
      <c r="E69" t="n">
        <v>0.018005</v>
      </c>
      <c r="F69" t="n">
        <v>-0.042358</v>
      </c>
      <c r="G69" t="n">
        <v>-0.406799</v>
      </c>
      <c r="H69" t="n">
        <v>0.912354</v>
      </c>
      <c r="I69" t="n">
        <v>0</v>
      </c>
      <c r="J69" t="inlineStr">
        <is>
          <t>I (384093) IMU: IMU|1|383821939|383808255|ROTATION_QUAT|0.018005|-0.042358|-0.406799|0.912354|0</t>
        </is>
      </c>
      <c r="K69">
        <f>IF(ISNUMBER($D69),($D69-$D$11)/1000000,"")</f>
        <v/>
      </c>
      <c r="L69">
        <f>IF($B69="LINEAR_ACCEL",SQRT($E69^2+$F69^2+$G69^2),"")</f>
        <v/>
      </c>
      <c r="M69">
        <f>IF($B69="GYRO",SQRT($E69^2+$F69^2+$G69^2),"")</f>
        <v/>
      </c>
      <c r="N69">
        <f>IF($B69="ROTATION_QUAT",SQRT($E69^2+$F69^2+$G69^2+$H69^2),"")</f>
        <v/>
      </c>
    </row>
    <row r="70">
      <c r="A70" t="inlineStr">
        <is>
          <t>2026-10-18T16:15:51.878-07:00</t>
        </is>
      </c>
      <c r="B70" t="inlineStr">
        <is>
          <t>LINEAR_ACCEL</t>
        </is>
      </c>
      <c r="C70" t="n">
        <v>383822514</v>
      </c>
      <c r="D70" t="n">
        <v>383808255</v>
      </c>
      <c r="E70" t="n">
        <v>0.00391</v>
      </c>
      <c r="F70" t="n">
        <v>-0.00391</v>
      </c>
      <c r="G70" t="n">
        <v>0.00391</v>
      </c>
      <c r="I70" t="n">
        <v>3</v>
      </c>
      <c r="J70" t="inlineStr">
        <is>
          <t>I (384093) IMU: IMU|1|383822514|383808255|LINEAR_ACCEL|0.00391|-0.00391|0.00391|3</t>
        </is>
      </c>
      <c r="K70">
        <f>IF(ISNUMBER($D70),($D70-$D$11)/1000000,"")</f>
        <v/>
      </c>
      <c r="L70">
        <f>IF($B70="LINEAR_ACCEL",SQRT($E70^2+$F70^2+$G70^2),"")</f>
        <v/>
      </c>
      <c r="M70">
        <f>IF($B70="GYRO",SQRT($E70^2+$F70^2+$G70^2),"")</f>
        <v/>
      </c>
      <c r="N70">
        <f>IF($B70="ROTATION_QUAT",SQRT($E70^2+$F70^2+$G70^2+$H70^2),"")</f>
        <v/>
      </c>
    </row>
    <row r="71">
      <c r="A71" t="inlineStr">
        <is>
          <t>2026-10-18T16:15:51.958-07:00</t>
        </is>
      </c>
      <c r="B71" t="inlineStr">
        <is>
          <t>GYRO</t>
        </is>
      </c>
      <c r="C71" t="n">
        <v>383911600</v>
      </c>
      <c r="D71" t="n">
        <v>383908172</v>
      </c>
      <c r="E71" t="n">
        <v>-0.00195</v>
      </c>
      <c r="F71" t="n">
        <v>0</v>
      </c>
      <c r="G71" t="n">
        <v>0</v>
      </c>
      <c r="I71" t="n">
        <v>0</v>
      </c>
      <c r="J71" t="inlineStr">
        <is>
          <t>I (384183) IMU: IMU|1|383911600|383908172|GYRO|-0.00195|0.00000|0.00000|0</t>
        </is>
      </c>
      <c r="K71">
        <f>IF(ISNUMBER($D71),($D71-$D$11)/1000000,"")</f>
        <v/>
      </c>
      <c r="L71">
        <f>IF($B71="LINEAR_ACCEL",SQRT($E71^2+$F71^2+$G71^2),"")</f>
        <v/>
      </c>
      <c r="M71">
        <f>IF($B71="GYRO",SQRT($E71^2+$F71^2+$G71^2),"")</f>
        <v/>
      </c>
      <c r="N71">
        <f>IF($B71="ROTATION_QUAT",SQRT($E71^2+$F71^2+$G71^2+$H71^2),"")</f>
        <v/>
      </c>
    </row>
    <row r="72">
      <c r="A72" t="inlineStr">
        <is>
          <t>2026-10-18T16:15:51.973-07:00</t>
        </is>
      </c>
      <c r="B72" t="inlineStr">
        <is>
          <t>ROTATION_QUAT</t>
        </is>
      </c>
      <c r="C72" t="n">
        <v>383921996</v>
      </c>
      <c r="D72" t="n">
        <v>383908255</v>
      </c>
      <c r="E72" t="n">
        <v>0.018005</v>
      </c>
      <c r="F72" t="n">
        <v>-0.042358</v>
      </c>
      <c r="G72" t="n">
        <v>-0.406799</v>
      </c>
      <c r="H72" t="n">
        <v>0.912354</v>
      </c>
      <c r="I72" t="n">
        <v>0</v>
      </c>
      <c r="J72" t="inlineStr">
        <is>
          <t>I (384193) IMU: IMU|1|383921996|383908255|ROTATION_QUAT|0.018005|-0.042358|-0.406799|0.912354|0</t>
        </is>
      </c>
      <c r="K72">
        <f>IF(ISNUMBER($D72),($D72-$D$11)/1000000,"")</f>
        <v/>
      </c>
      <c r="L72">
        <f>IF($B72="LINEAR_ACCEL",SQRT($E72^2+$F72^2+$G72^2),"")</f>
        <v/>
      </c>
      <c r="M72">
        <f>IF($B72="GYRO",SQRT($E72^2+$F72^2+$G72^2),"")</f>
        <v/>
      </c>
      <c r="N72">
        <f>IF($B72="ROTATION_QUAT",SQRT($E72^2+$F72^2+$G72^2+$H72^2),"")</f>
        <v/>
      </c>
    </row>
    <row r="73">
      <c r="A73" t="inlineStr">
        <is>
          <t>2026-10-18T16:15:51.978-07:00</t>
        </is>
      </c>
      <c r="B73" t="inlineStr">
        <is>
          <t>LINEAR_ACCEL</t>
        </is>
      </c>
      <c r="C73" t="n">
        <v>383922570</v>
      </c>
      <c r="D73" t="n">
        <v>383908255</v>
      </c>
      <c r="E73" t="n">
        <v>0.00391</v>
      </c>
      <c r="F73" t="n">
        <v>-0.00391</v>
      </c>
      <c r="G73" t="n">
        <v>0.00391</v>
      </c>
      <c r="I73" t="n">
        <v>3</v>
      </c>
      <c r="J73" t="inlineStr">
        <is>
          <t>I (384193) IMU: IMU|1|383922570|383908255|LINEAR_ACCEL|0.00391|-0.00391|0.00391|3</t>
        </is>
      </c>
      <c r="K73">
        <f>IF(ISNUMBER($D73),($D73-$D$11)/1000000,"")</f>
        <v/>
      </c>
      <c r="L73">
        <f>IF($B73="LINEAR_ACCEL",SQRT($E73^2+$F73^2+$G73^2),"")</f>
        <v/>
      </c>
      <c r="M73">
        <f>IF($B73="GYRO",SQRT($E73^2+$F73^2+$G73^2),"")</f>
        <v/>
      </c>
      <c r="N73">
        <f>IF($B73="ROTATION_QUAT",SQRT($E73^2+$F73^2+$G73^2+$H73^2),"")</f>
        <v/>
      </c>
    </row>
    <row r="74">
      <c r="A74" t="inlineStr">
        <is>
          <t>2026-10-18T16:15:52.058-07:00</t>
        </is>
      </c>
      <c r="B74" t="inlineStr">
        <is>
          <t>GYRO</t>
        </is>
      </c>
      <c r="C74" t="n">
        <v>384011622</v>
      </c>
      <c r="D74" t="n">
        <v>384008172</v>
      </c>
      <c r="E74" t="n">
        <v>0</v>
      </c>
      <c r="F74" t="n">
        <v>0</v>
      </c>
      <c r="G74" t="n">
        <v>0</v>
      </c>
      <c r="I74" t="n">
        <v>0</v>
      </c>
      <c r="J74" t="inlineStr">
        <is>
          <t>I (384283) IMU: IMU|1|384011622|384008172|GYRO|0.00000|0.00000|0.00000|0</t>
        </is>
      </c>
      <c r="K74">
        <f>IF(ISNUMBER($D74),($D74-$D$11)/1000000,"")</f>
        <v/>
      </c>
      <c r="L74">
        <f>IF($B74="LINEAR_ACCEL",SQRT($E74^2+$F74^2+$G74^2),"")</f>
        <v/>
      </c>
      <c r="M74">
        <f>IF($B74="GYRO",SQRT($E74^2+$F74^2+$G74^2),"")</f>
        <v/>
      </c>
      <c r="N74">
        <f>IF($B74="ROTATION_QUAT",SQRT($E74^2+$F74^2+$G74^2+$H74^2),"")</f>
        <v/>
      </c>
    </row>
    <row r="75">
      <c r="A75" t="inlineStr">
        <is>
          <t>2026-10-18T16:15:52.073-07:00</t>
        </is>
      </c>
      <c r="B75" t="inlineStr">
        <is>
          <t>ROTATION_QUAT</t>
        </is>
      </c>
      <c r="C75" t="n">
        <v>384022016</v>
      </c>
      <c r="D75" t="n">
        <v>384008231</v>
      </c>
      <c r="E75" t="n">
        <v>0.018005</v>
      </c>
      <c r="F75" t="n">
        <v>-0.042358</v>
      </c>
      <c r="G75" t="n">
        <v>-0.406799</v>
      </c>
      <c r="H75" t="n">
        <v>0.912354</v>
      </c>
      <c r="I75" t="n">
        <v>0</v>
      </c>
      <c r="J75" t="inlineStr">
        <is>
          <t>I (384293) IMU: IMU|1|384022016|384008231|ROTATION_QUAT|0.018005|-0.042358|-0.406799|0.912354|0</t>
        </is>
      </c>
      <c r="K75">
        <f>IF(ISNUMBER($D75),($D75-$D$11)/1000000,"")</f>
        <v/>
      </c>
      <c r="L75">
        <f>IF($B75="LINEAR_ACCEL",SQRT($E75^2+$F75^2+$G75^2),"")</f>
        <v/>
      </c>
      <c r="M75">
        <f>IF($B75="GYRO",SQRT($E75^2+$F75^2+$G75^2),"")</f>
        <v/>
      </c>
      <c r="N75">
        <f>IF($B75="ROTATION_QUAT",SQRT($E75^2+$F75^2+$G75^2+$H75^2),"")</f>
        <v/>
      </c>
    </row>
    <row r="76">
      <c r="A76" t="inlineStr">
        <is>
          <t>2026-10-18T16:15:52.078-07:00</t>
        </is>
      </c>
      <c r="B76" t="inlineStr">
        <is>
          <t>LINEAR_ACCEL</t>
        </is>
      </c>
      <c r="C76" t="n">
        <v>384022590</v>
      </c>
      <c r="D76" t="n">
        <v>384008231</v>
      </c>
      <c r="E76" t="n">
        <v>0.00391</v>
      </c>
      <c r="F76" t="n">
        <v>-0.00391</v>
      </c>
      <c r="G76" t="n">
        <v>-0.00391</v>
      </c>
      <c r="I76" t="n">
        <v>3</v>
      </c>
      <c r="J76" t="inlineStr">
        <is>
          <t>I (384293) IMU: IMU|1|384022590|384008231|LINEAR_ACCEL|0.00391|-0.00391|-0.00391|3</t>
        </is>
      </c>
      <c r="K76">
        <f>IF(ISNUMBER($D76),($D76-$D$11)/1000000,"")</f>
        <v/>
      </c>
      <c r="L76">
        <f>IF($B76="LINEAR_ACCEL",SQRT($E76^2+$F76^2+$G76^2),"")</f>
        <v/>
      </c>
      <c r="M76">
        <f>IF($B76="GYRO",SQRT($E76^2+$F76^2+$G76^2),"")</f>
        <v/>
      </c>
      <c r="N76">
        <f>IF($B76="ROTATION_QUAT",SQRT($E76^2+$F76^2+$G76^2+$H76^2),"")</f>
        <v/>
      </c>
    </row>
    <row r="77">
      <c r="A77" t="inlineStr">
        <is>
          <t>2026-10-18T16:15:52.158-07:00</t>
        </is>
      </c>
      <c r="B77" t="inlineStr">
        <is>
          <t>GYRO</t>
        </is>
      </c>
      <c r="C77" t="n">
        <v>384111668</v>
      </c>
      <c r="D77" t="n">
        <v>384108172</v>
      </c>
      <c r="E77" t="n">
        <v>0.00195</v>
      </c>
      <c r="F77" t="n">
        <v>0</v>
      </c>
      <c r="G77" t="n">
        <v>-0.00195</v>
      </c>
      <c r="I77" t="n">
        <v>0</v>
      </c>
      <c r="J77" t="inlineStr">
        <is>
          <t>I (384383) IMU: IMU|1|384111668|384108172|GYRO|0.00195|0.00000|-0.00195|0</t>
        </is>
      </c>
      <c r="K77">
        <f>IF(ISNUMBER($D77),($D77-$D$11)/1000000,"")</f>
        <v/>
      </c>
      <c r="L77">
        <f>IF($B77="LINEAR_ACCEL",SQRT($E77^2+$F77^2+$G77^2),"")</f>
        <v/>
      </c>
      <c r="M77">
        <f>IF($B77="GYRO",SQRT($E77^2+$F77^2+$G77^2),"")</f>
        <v/>
      </c>
      <c r="N77">
        <f>IF($B77="ROTATION_QUAT",SQRT($E77^2+$F77^2+$G77^2+$H77^2),"")</f>
        <v/>
      </c>
    </row>
    <row r="78">
      <c r="A78" t="inlineStr">
        <is>
          <t>2026-10-18T16:15:52.173-07:00</t>
        </is>
      </c>
      <c r="B78" t="inlineStr">
        <is>
          <t>ROTATION_QUAT</t>
        </is>
      </c>
      <c r="C78" t="n">
        <v>384122049</v>
      </c>
      <c r="D78" t="n">
        <v>384108255</v>
      </c>
      <c r="E78" t="n">
        <v>0.017883</v>
      </c>
      <c r="F78" t="n">
        <v>-0.042358</v>
      </c>
      <c r="G78" t="n">
        <v>-0.406799</v>
      </c>
      <c r="H78" t="n">
        <v>0.912354</v>
      </c>
      <c r="I78" t="n">
        <v>0</v>
      </c>
      <c r="J78" t="inlineStr">
        <is>
          <t>I (384393) IMU: IMU|1|384122049|384108255|ROTATION_QUAT|0.017883|-0.042358|-0.406799|0.912354|0</t>
        </is>
      </c>
      <c r="K78">
        <f>IF(ISNUMBER($D78),($D78-$D$11)/1000000,"")</f>
        <v/>
      </c>
      <c r="L78">
        <f>IF($B78="LINEAR_ACCEL",SQRT($E78^2+$F78^2+$G78^2),"")</f>
        <v/>
      </c>
      <c r="M78">
        <f>IF($B78="GYRO",SQRT($E78^2+$F78^2+$G78^2),"")</f>
        <v/>
      </c>
      <c r="N78">
        <f>IF($B78="ROTATION_QUAT",SQRT($E78^2+$F78^2+$G78^2+$H78^2),"")</f>
        <v/>
      </c>
    </row>
    <row r="79">
      <c r="A79" t="inlineStr">
        <is>
          <t>2026-10-18T16:15:52.178-07:00</t>
        </is>
      </c>
      <c r="B79" t="inlineStr">
        <is>
          <t>LINEAR_ACCEL</t>
        </is>
      </c>
      <c r="C79" t="n">
        <v>384122616</v>
      </c>
      <c r="D79" t="n">
        <v>384108255</v>
      </c>
      <c r="E79" t="n">
        <v>0.00391</v>
      </c>
      <c r="F79" t="n">
        <v>0.00391</v>
      </c>
      <c r="G79" t="n">
        <v>-0.00391</v>
      </c>
      <c r="I79" t="n">
        <v>3</v>
      </c>
      <c r="J79" t="inlineStr">
        <is>
          <t>I (384393) IMU: IMU|1|384122616|384108255|LINEAR_ACCEL|0.00391|0.00391|-0.00391|3</t>
        </is>
      </c>
      <c r="K79">
        <f>IF(ISNUMBER($D79),($D79-$D$11)/1000000,"")</f>
        <v/>
      </c>
      <c r="L79">
        <f>IF($B79="LINEAR_ACCEL",SQRT($E79^2+$F79^2+$G79^2),"")</f>
        <v/>
      </c>
      <c r="M79">
        <f>IF($B79="GYRO",SQRT($E79^2+$F79^2+$G79^2),"")</f>
        <v/>
      </c>
      <c r="N79">
        <f>IF($B79="ROTATION_QUAT",SQRT($E79^2+$F79^2+$G79^2+$H79^2),"")</f>
        <v/>
      </c>
    </row>
    <row r="80">
      <c r="A80" t="inlineStr">
        <is>
          <t>2026-10-18T16:15:52.258-07:00</t>
        </is>
      </c>
      <c r="B80" t="inlineStr">
        <is>
          <t>GYRO</t>
        </is>
      </c>
      <c r="C80" t="n">
        <v>384211681</v>
      </c>
      <c r="D80" t="n">
        <v>384208172</v>
      </c>
      <c r="E80" t="n">
        <v>-0.00195</v>
      </c>
      <c r="F80" t="n">
        <v>0</v>
      </c>
      <c r="G80" t="n">
        <v>0</v>
      </c>
      <c r="I80" t="n">
        <v>0</v>
      </c>
      <c r="J80" t="inlineStr">
        <is>
          <t>I (384483) IMU: IMU|1|384211681|384208172|GYRO|-0.00195|0.00000|0.00000|0</t>
        </is>
      </c>
      <c r="K80">
        <f>IF(ISNUMBER($D80),($D80-$D$11)/1000000,"")</f>
        <v/>
      </c>
      <c r="L80">
        <f>IF($B80="LINEAR_ACCEL",SQRT($E80^2+$F80^2+$G80^2),"")</f>
        <v/>
      </c>
      <c r="M80">
        <f>IF($B80="GYRO",SQRT($E80^2+$F80^2+$G80^2),"")</f>
        <v/>
      </c>
      <c r="N80">
        <f>IF($B80="ROTATION_QUAT",SQRT($E80^2+$F80^2+$G80^2+$H80^2),"")</f>
        <v/>
      </c>
    </row>
    <row r="81">
      <c r="A81" t="inlineStr">
        <is>
          <t>2026-10-18T16:15:52.274-07:00</t>
        </is>
      </c>
      <c r="B81" t="inlineStr">
        <is>
          <t>ROTATION_QUAT</t>
        </is>
      </c>
      <c r="C81" t="n">
        <v>384222062</v>
      </c>
      <c r="D81" t="n">
        <v>384208255</v>
      </c>
      <c r="E81" t="n">
        <v>0.017822</v>
      </c>
      <c r="F81" t="n">
        <v>-0.042297</v>
      </c>
      <c r="G81" t="n">
        <v>-0.40686</v>
      </c>
      <c r="H81" t="n">
        <v>0.912354</v>
      </c>
      <c r="I81" t="n">
        <v>0</v>
      </c>
      <c r="J81" t="inlineStr">
        <is>
          <t>I (384493) IMU: IMU|1|384222062|384208255|ROTATION_QUAT|0.017822|-0.042297|-0.406860|0.912354|0</t>
        </is>
      </c>
      <c r="K81">
        <f>IF(ISNUMBER($D81),($D81-$D$11)/1000000,"")</f>
        <v/>
      </c>
      <c r="L81">
        <f>IF($B81="LINEAR_ACCEL",SQRT($E81^2+$F81^2+$G81^2),"")</f>
        <v/>
      </c>
      <c r="M81">
        <f>IF($B81="GYRO",SQRT($E81^2+$F81^2+$G81^2),"")</f>
        <v/>
      </c>
      <c r="N81">
        <f>IF($B81="ROTATION_QUAT",SQRT($E81^2+$F81^2+$G81^2+$H81^2),"")</f>
        <v/>
      </c>
    </row>
    <row r="82">
      <c r="A82" t="inlineStr">
        <is>
          <t>2026-10-18T16:15:52.279-07:00</t>
        </is>
      </c>
      <c r="B82" t="inlineStr">
        <is>
          <t>LINEAR_ACCEL</t>
        </is>
      </c>
      <c r="C82" t="n">
        <v>384222637</v>
      </c>
      <c r="D82" t="n">
        <v>384208255</v>
      </c>
      <c r="E82" t="n">
        <v>0.00391</v>
      </c>
      <c r="F82" t="n">
        <v>0.00391</v>
      </c>
      <c r="G82" t="n">
        <v>-0.00391</v>
      </c>
      <c r="I82" t="n">
        <v>3</v>
      </c>
      <c r="J82" t="inlineStr">
        <is>
          <t>I (384493) IMU: IMU|1|384222637|384208255|LINEAR_ACCEL|0.00391|0.00391|-0.00391|3</t>
        </is>
      </c>
      <c r="K82">
        <f>IF(ISNUMBER($D82),($D82-$D$11)/1000000,"")</f>
        <v/>
      </c>
      <c r="L82">
        <f>IF($B82="LINEAR_ACCEL",SQRT($E82^2+$F82^2+$G82^2),"")</f>
        <v/>
      </c>
      <c r="M82">
        <f>IF($B82="GYRO",SQRT($E82^2+$F82^2+$G82^2),"")</f>
        <v/>
      </c>
      <c r="N82">
        <f>IF($B82="ROTATION_QUAT",SQRT($E82^2+$F82^2+$G82^2+$H82^2),"")</f>
        <v/>
      </c>
    </row>
    <row r="83">
      <c r="A83" t="inlineStr">
        <is>
          <t>2026-10-18T16:15:52.387-07:00</t>
        </is>
      </c>
      <c r="B83" t="inlineStr">
        <is>
          <t>GYRO</t>
        </is>
      </c>
      <c r="C83" t="n">
        <v>384327020</v>
      </c>
      <c r="D83" t="n">
        <v>384308183</v>
      </c>
      <c r="E83" t="n">
        <v>0.00195</v>
      </c>
      <c r="F83" t="n">
        <v>0</v>
      </c>
      <c r="G83" t="n">
        <v>0.00195</v>
      </c>
      <c r="I83" t="n">
        <v>0</v>
      </c>
      <c r="J83" t="inlineStr">
        <is>
          <t>I (384593) IMU: IMU|1|384327020|384308183|GYRO|0.00195|0.00000|0.00195|0</t>
        </is>
      </c>
      <c r="K83">
        <f>IF(ISNUMBER($D83),($D83-$D$11)/1000000,"")</f>
        <v/>
      </c>
      <c r="L83">
        <f>IF($B83="LINEAR_ACCEL",SQRT($E83^2+$F83^2+$G83^2),"")</f>
        <v/>
      </c>
      <c r="M83">
        <f>IF($B83="GYRO",SQRT($E83^2+$F83^2+$G83^2),"")</f>
        <v/>
      </c>
      <c r="N83">
        <f>IF($B83="ROTATION_QUAT",SQRT($E83^2+$F83^2+$G83^2+$H83^2),"")</f>
        <v/>
      </c>
    </row>
    <row r="84">
      <c r="A84" t="inlineStr">
        <is>
          <t>2026-10-18T16:15:52.393-07:00</t>
        </is>
      </c>
      <c r="B84" t="inlineStr">
        <is>
          <t>ROTATION_QUAT</t>
        </is>
      </c>
      <c r="C84" t="n">
        <v>384342120</v>
      </c>
      <c r="D84" t="n">
        <v>384313071</v>
      </c>
      <c r="E84" t="n">
        <v>0.017822</v>
      </c>
      <c r="F84" t="n">
        <v>-0.042297</v>
      </c>
      <c r="G84" t="n">
        <v>-0.406799</v>
      </c>
      <c r="H84" t="n">
        <v>0.912354</v>
      </c>
      <c r="I84" t="n">
        <v>0</v>
      </c>
      <c r="J84" t="inlineStr">
        <is>
          <t>I (384613) IMU: IMU|1|384342120|384313071|ROTATION_QUAT|0.017822|-0.042297|-0.406799|0.912354|0</t>
        </is>
      </c>
      <c r="K84">
        <f>IF(ISNUMBER($D84),($D84-$D$11)/1000000,"")</f>
        <v/>
      </c>
      <c r="L84">
        <f>IF($B84="LINEAR_ACCEL",SQRT($E84^2+$F84^2+$G84^2),"")</f>
        <v/>
      </c>
      <c r="M84">
        <f>IF($B84="GYRO",SQRT($E84^2+$F84^2+$G84^2),"")</f>
        <v/>
      </c>
      <c r="N84">
        <f>IF($B84="ROTATION_QUAT",SQRT($E84^2+$F84^2+$G84^2+$H84^2),"")</f>
        <v/>
      </c>
    </row>
    <row r="85">
      <c r="A85" t="inlineStr">
        <is>
          <t>2026-10-18T16:15:52.399-07:00</t>
        </is>
      </c>
      <c r="B85" t="inlineStr">
        <is>
          <t>LINEAR_ACCEL</t>
        </is>
      </c>
      <c r="C85" t="n">
        <v>384342703</v>
      </c>
      <c r="D85" t="n">
        <v>384313071</v>
      </c>
      <c r="E85" t="n">
        <v>-0.00391</v>
      </c>
      <c r="F85" t="n">
        <v>-0.03516</v>
      </c>
      <c r="G85" t="n">
        <v>-0.04297</v>
      </c>
      <c r="I85" t="n">
        <v>3</v>
      </c>
      <c r="J85" t="inlineStr">
        <is>
          <t>I (384613) IMU: IMU|1|384342703|384313071|LINEAR_ACCEL|-0.00391|-0.03516|-0.04297|3</t>
        </is>
      </c>
      <c r="K85">
        <f>IF(ISNUMBER($D85),($D85-$D$11)/1000000,"")</f>
        <v/>
      </c>
      <c r="L85">
        <f>IF($B85="LINEAR_ACCEL",SQRT($E85^2+$F85^2+$G85^2),"")</f>
        <v/>
      </c>
      <c r="M85">
        <f>IF($B85="GYRO",SQRT($E85^2+$F85^2+$G85^2),"")</f>
        <v/>
      </c>
      <c r="N85">
        <f>IF($B85="ROTATION_QUAT",SQRT($E85^2+$F85^2+$G85^2+$H85^2),"")</f>
        <v/>
      </c>
    </row>
    <row r="86">
      <c r="A86" t="inlineStr">
        <is>
          <t>2026-10-18T16:15:52.459-07:00</t>
        </is>
      </c>
      <c r="B86" t="inlineStr">
        <is>
          <t>GYRO</t>
        </is>
      </c>
      <c r="C86" t="n">
        <v>384411747</v>
      </c>
      <c r="D86" t="n">
        <v>384408172</v>
      </c>
      <c r="E86" t="n">
        <v>0</v>
      </c>
      <c r="F86" t="n">
        <v>-0.00195</v>
      </c>
      <c r="G86" t="n">
        <v>0.00195</v>
      </c>
      <c r="I86" t="n">
        <v>0</v>
      </c>
      <c r="J86" t="inlineStr">
        <is>
          <t>I (384683) IMU: IMU|1|384411747|384408172|GYRO|0.00000|-0.00195|0.00195|0</t>
        </is>
      </c>
      <c r="K86">
        <f>IF(ISNUMBER($D86),($D86-$D$11)/1000000,"")</f>
        <v/>
      </c>
      <c r="L86">
        <f>IF($B86="LINEAR_ACCEL",SQRT($E86^2+$F86^2+$G86^2),"")</f>
        <v/>
      </c>
      <c r="M86">
        <f>IF($B86="GYRO",SQRT($E86^2+$F86^2+$G86^2),"")</f>
        <v/>
      </c>
      <c r="N86">
        <f>IF($B86="ROTATION_QUAT",SQRT($E86^2+$F86^2+$G86^2+$H86^2),"")</f>
        <v/>
      </c>
    </row>
    <row r="87">
      <c r="A87" t="inlineStr">
        <is>
          <t>2026-10-18T16:15:52.474-07:00</t>
        </is>
      </c>
      <c r="B87" t="inlineStr">
        <is>
          <t>ROTATION_QUAT</t>
        </is>
      </c>
      <c r="C87" t="n">
        <v>384422129</v>
      </c>
      <c r="D87" t="n">
        <v>384408255</v>
      </c>
      <c r="E87" t="n">
        <v>0.017822</v>
      </c>
      <c r="F87" t="n">
        <v>-0.042358</v>
      </c>
      <c r="G87" t="n">
        <v>-0.406799</v>
      </c>
      <c r="H87" t="n">
        <v>0.912354</v>
      </c>
      <c r="I87" t="n">
        <v>0</v>
      </c>
      <c r="J87" t="inlineStr">
        <is>
          <t>I (384693) IMU: IMU|1|384422129|384408255|ROTATION_QUAT|0.017822|-0.042358|-0.406799|0.912354|0</t>
        </is>
      </c>
      <c r="K87">
        <f>IF(ISNUMBER($D87),($D87-$D$11)/1000000,"")</f>
        <v/>
      </c>
      <c r="L87">
        <f>IF($B87="LINEAR_ACCEL",SQRT($E87^2+$F87^2+$G87^2),"")</f>
        <v/>
      </c>
      <c r="M87">
        <f>IF($B87="GYRO",SQRT($E87^2+$F87^2+$G87^2),"")</f>
        <v/>
      </c>
      <c r="N87">
        <f>IF($B87="ROTATION_QUAT",SQRT($E87^2+$F87^2+$G87^2+$H87^2),"")</f>
        <v/>
      </c>
    </row>
    <row r="88">
      <c r="A88" t="inlineStr">
        <is>
          <t>2026-10-18T16:15:52.478-07:00</t>
        </is>
      </c>
      <c r="B88" t="inlineStr">
        <is>
          <t>LINEAR_ACCEL</t>
        </is>
      </c>
      <c r="C88" t="n">
        <v>384422688</v>
      </c>
      <c r="D88" t="n">
        <v>384408255</v>
      </c>
      <c r="E88" t="n">
        <v>-0.00391</v>
      </c>
      <c r="F88" t="n">
        <v>0.01172</v>
      </c>
      <c r="G88" t="n">
        <v>0.00391</v>
      </c>
      <c r="I88" t="n">
        <v>3</v>
      </c>
      <c r="J88" t="inlineStr">
        <is>
          <t>I (384693) IMU: IMU|1|384422688|384408255|LINEAR_ACCEL|-0.00391|0.01172|0.00391|3</t>
        </is>
      </c>
      <c r="K88">
        <f>IF(ISNUMBER($D88),($D88-$D$11)/1000000,"")</f>
        <v/>
      </c>
      <c r="L88">
        <f>IF($B88="LINEAR_ACCEL",SQRT($E88^2+$F88^2+$G88^2),"")</f>
        <v/>
      </c>
      <c r="M88">
        <f>IF($B88="GYRO",SQRT($E88^2+$F88^2+$G88^2),"")</f>
        <v/>
      </c>
      <c r="N88">
        <f>IF($B88="ROTATION_QUAT",SQRT($E88^2+$F88^2+$G88^2+$H88^2),"")</f>
        <v/>
      </c>
    </row>
    <row r="89">
      <c r="A89" t="inlineStr">
        <is>
          <t>2026-10-18T16:15:52.559-07:00</t>
        </is>
      </c>
      <c r="B89" t="inlineStr">
        <is>
          <t>GYRO</t>
        </is>
      </c>
      <c r="C89" t="n">
        <v>384511764</v>
      </c>
      <c r="D89" t="n">
        <v>384508172</v>
      </c>
      <c r="E89" t="n">
        <v>0</v>
      </c>
      <c r="F89" t="n">
        <v>0</v>
      </c>
      <c r="G89" t="n">
        <v>0.00195</v>
      </c>
      <c r="I89" t="n">
        <v>0</v>
      </c>
      <c r="J89" t="inlineStr">
        <is>
          <t>I (384783) IMU: IMU|1|384511764|384508172|GYRO|0.00000|0.00000|0.00195|0</t>
        </is>
      </c>
      <c r="K89">
        <f>IF(ISNUMBER($D89),($D89-$D$11)/1000000,"")</f>
        <v/>
      </c>
      <c r="L89">
        <f>IF($B89="LINEAR_ACCEL",SQRT($E89^2+$F89^2+$G89^2),"")</f>
        <v/>
      </c>
      <c r="M89">
        <f>IF($B89="GYRO",SQRT($E89^2+$F89^2+$G89^2),"")</f>
        <v/>
      </c>
      <c r="N89">
        <f>IF($B89="ROTATION_QUAT",SQRT($E89^2+$F89^2+$G89^2+$H89^2),"")</f>
        <v/>
      </c>
    </row>
    <row r="90">
      <c r="A90" t="inlineStr">
        <is>
          <t>2026-10-18T16:15:52.574-07:00</t>
        </is>
      </c>
      <c r="B90" t="inlineStr">
        <is>
          <t>ROTATION_QUAT</t>
        </is>
      </c>
      <c r="C90" t="n">
        <v>384522159</v>
      </c>
      <c r="D90" t="n">
        <v>384508355</v>
      </c>
      <c r="E90" t="n">
        <v>0.017761</v>
      </c>
      <c r="F90" t="n">
        <v>-0.042358</v>
      </c>
      <c r="G90" t="n">
        <v>-0.406738</v>
      </c>
      <c r="H90" t="n">
        <v>0.912354</v>
      </c>
      <c r="I90" t="n">
        <v>0</v>
      </c>
      <c r="J90" t="inlineStr">
        <is>
          <t>I (384793) IMU: IMU|1|384522159|384508355|ROTATION_QUAT|0.017761|-0.042358|-0.406738|0.912354|0</t>
        </is>
      </c>
      <c r="K90">
        <f>IF(ISNUMBER($D90),($D90-$D$11)/1000000,"")</f>
        <v/>
      </c>
      <c r="L90">
        <f>IF($B90="LINEAR_ACCEL",SQRT($E90^2+$F90^2+$G90^2),"")</f>
        <v/>
      </c>
      <c r="M90">
        <f>IF($B90="GYRO",SQRT($E90^2+$F90^2+$G90^2),"")</f>
        <v/>
      </c>
      <c r="N90">
        <f>IF($B90="ROTATION_QUAT",SQRT($E90^2+$F90^2+$G90^2+$H90^2),"")</f>
        <v/>
      </c>
    </row>
    <row r="91">
      <c r="A91" t="inlineStr">
        <is>
          <t>2026-10-18T16:15:52.578-07:00</t>
        </is>
      </c>
      <c r="B91" t="inlineStr">
        <is>
          <t>LINEAR_ACCEL</t>
        </is>
      </c>
      <c r="C91" t="n">
        <v>384522719</v>
      </c>
      <c r="D91" t="n">
        <v>384508355</v>
      </c>
      <c r="E91" t="n">
        <v>-0.00391</v>
      </c>
      <c r="F91" t="n">
        <v>0.01172</v>
      </c>
      <c r="G91" t="n">
        <v>-0.03516</v>
      </c>
      <c r="I91" t="n">
        <v>3</v>
      </c>
      <c r="J91" t="inlineStr">
        <is>
          <t>I (384793) IMU: IMU|1|384522719|384508355|LINEAR_ACCEL|-0.00391|0.01172|-0.03516|3</t>
        </is>
      </c>
      <c r="K91">
        <f>IF(ISNUMBER($D91),($D91-$D$11)/1000000,"")</f>
        <v/>
      </c>
      <c r="L91">
        <f>IF($B91="LINEAR_ACCEL",SQRT($E91^2+$F91^2+$G91^2),"")</f>
        <v/>
      </c>
      <c r="M91">
        <f>IF($B91="GYRO",SQRT($E91^2+$F91^2+$G91^2),"")</f>
        <v/>
      </c>
      <c r="N91">
        <f>IF($B91="ROTATION_QUAT",SQRT($E91^2+$F91^2+$G91^2+$H91^2),"")</f>
        <v/>
      </c>
    </row>
    <row r="92">
      <c r="A92" t="inlineStr">
        <is>
          <t>2026-10-18T16:15:52.659-07:00</t>
        </is>
      </c>
      <c r="B92" t="inlineStr">
        <is>
          <t>GYRO</t>
        </is>
      </c>
      <c r="C92" t="n">
        <v>384611797</v>
      </c>
      <c r="D92" t="n">
        <v>384608172</v>
      </c>
      <c r="E92" t="n">
        <v>-0.00195</v>
      </c>
      <c r="F92" t="n">
        <v>0.00195</v>
      </c>
      <c r="G92" t="n">
        <v>0</v>
      </c>
      <c r="I92" t="n">
        <v>0</v>
      </c>
      <c r="J92" t="inlineStr">
        <is>
          <t>I (384883) IMU: IMU|1|384611797|384608172|GYRO|-0.00195|0.00195|0.00000|0</t>
        </is>
      </c>
      <c r="K92">
        <f>IF(ISNUMBER($D92),($D92-$D$11)/1000000,"")</f>
        <v/>
      </c>
      <c r="L92">
        <f>IF($B92="LINEAR_ACCEL",SQRT($E92^2+$F92^2+$G92^2),"")</f>
        <v/>
      </c>
      <c r="M92">
        <f>IF($B92="GYRO",SQRT($E92^2+$F92^2+$G92^2),"")</f>
        <v/>
      </c>
      <c r="N92">
        <f>IF($B92="ROTATION_QUAT",SQRT($E92^2+$F92^2+$G92^2+$H92^2),"")</f>
        <v/>
      </c>
    </row>
    <row r="93">
      <c r="A93" t="inlineStr">
        <is>
          <t>2026-10-18T16:15:52.674-07:00</t>
        </is>
      </c>
      <c r="B93" t="inlineStr">
        <is>
          <t>ROTATION_QUAT</t>
        </is>
      </c>
      <c r="C93" t="n">
        <v>384622195</v>
      </c>
      <c r="D93" t="n">
        <v>384608355</v>
      </c>
      <c r="E93" t="n">
        <v>0.017639</v>
      </c>
      <c r="F93" t="n">
        <v>-0.042297</v>
      </c>
      <c r="G93" t="n">
        <v>-0.406738</v>
      </c>
      <c r="H93" t="n">
        <v>0.912354</v>
      </c>
      <c r="I93" t="n">
        <v>0</v>
      </c>
      <c r="J93" t="inlineStr">
        <is>
          <t>I (384893) IMU: IMU|1|384622195|384608355|ROTATION_QUAT|0.017639|-0.042297|-0.406738|0.912354|0</t>
        </is>
      </c>
      <c r="K93">
        <f>IF(ISNUMBER($D93),($D93-$D$11)/1000000,"")</f>
        <v/>
      </c>
      <c r="L93">
        <f>IF($B93="LINEAR_ACCEL",SQRT($E93^2+$F93^2+$G93^2),"")</f>
        <v/>
      </c>
      <c r="M93">
        <f>IF($B93="GYRO",SQRT($E93^2+$F93^2+$G93^2),"")</f>
        <v/>
      </c>
      <c r="N93">
        <f>IF($B93="ROTATION_QUAT",SQRT($E93^2+$F93^2+$G93^2+$H93^2),"")</f>
        <v/>
      </c>
    </row>
    <row r="94">
      <c r="A94" t="inlineStr">
        <is>
          <t>2026-10-18T16:15:52.679-07:00</t>
        </is>
      </c>
      <c r="B94" t="inlineStr">
        <is>
          <t>LINEAR_ACCEL</t>
        </is>
      </c>
      <c r="C94" t="n">
        <v>384622762</v>
      </c>
      <c r="D94" t="n">
        <v>384608355</v>
      </c>
      <c r="E94" t="n">
        <v>0.00391</v>
      </c>
      <c r="F94" t="n">
        <v>0.00391</v>
      </c>
      <c r="G94" t="n">
        <v>0.00391</v>
      </c>
      <c r="I94" t="n">
        <v>3</v>
      </c>
      <c r="J94" t="inlineStr">
        <is>
          <t>I (384893) IMU: IMU|1|384622762|384608355|LINEAR_ACCEL|0.00391|0.00391|0.00391|3</t>
        </is>
      </c>
      <c r="K94">
        <f>IF(ISNUMBER($D94),($D94-$D$11)/1000000,"")</f>
        <v/>
      </c>
      <c r="L94">
        <f>IF($B94="LINEAR_ACCEL",SQRT($E94^2+$F94^2+$G94^2),"")</f>
        <v/>
      </c>
      <c r="M94">
        <f>IF($B94="GYRO",SQRT($E94^2+$F94^2+$G94^2),"")</f>
        <v/>
      </c>
      <c r="N94">
        <f>IF($B94="ROTATION_QUAT",SQRT($E94^2+$F94^2+$G94^2+$H94^2),"")</f>
        <v/>
      </c>
    </row>
    <row r="95">
      <c r="A95" t="inlineStr">
        <is>
          <t>2026-10-18T16:15:52.758-07:00</t>
        </is>
      </c>
      <c r="B95" t="inlineStr">
        <is>
          <t>GYRO</t>
        </is>
      </c>
      <c r="C95" t="n">
        <v>384711829</v>
      </c>
      <c r="D95" t="n">
        <v>384708172</v>
      </c>
      <c r="E95" t="n">
        <v>0</v>
      </c>
      <c r="F95" t="n">
        <v>0</v>
      </c>
      <c r="G95" t="n">
        <v>0.00195</v>
      </c>
      <c r="I95" t="n">
        <v>0</v>
      </c>
      <c r="J95" t="inlineStr">
        <is>
          <t>I (384983) IMU: IMU|1|384711829|384708172|GYRO|0.00000|0.00000|0.00195|0</t>
        </is>
      </c>
      <c r="K95">
        <f>IF(ISNUMBER($D95),($D95-$D$11)/1000000,"")</f>
        <v/>
      </c>
      <c r="L95">
        <f>IF($B95="LINEAR_ACCEL",SQRT($E95^2+$F95^2+$G95^2),"")</f>
        <v/>
      </c>
      <c r="M95">
        <f>IF($B95="GYRO",SQRT($E95^2+$F95^2+$G95^2),"")</f>
        <v/>
      </c>
      <c r="N95">
        <f>IF($B95="ROTATION_QUAT",SQRT($E95^2+$F95^2+$G95^2+$H95^2),"")</f>
        <v/>
      </c>
    </row>
    <row r="96">
      <c r="A96" t="inlineStr">
        <is>
          <t>2026-10-18T16:15:52.774-07:00</t>
        </is>
      </c>
      <c r="B96" t="inlineStr">
        <is>
          <t>ROTATION_QUAT</t>
        </is>
      </c>
      <c r="C96" t="n">
        <v>384722221</v>
      </c>
      <c r="D96" t="n">
        <v>384708355</v>
      </c>
      <c r="E96" t="n">
        <v>0.017639</v>
      </c>
      <c r="F96" t="n">
        <v>-0.042297</v>
      </c>
      <c r="G96" t="n">
        <v>-0.406799</v>
      </c>
      <c r="H96" t="n">
        <v>0.912354</v>
      </c>
      <c r="I96" t="n">
        <v>0</v>
      </c>
      <c r="J96" t="inlineStr">
        <is>
          <t>I (384993) IMU: IMU|1|384722221|384708355|ROTATION_QUAT|0.017639|-0.042297|-0.406799|0.912354|0</t>
        </is>
      </c>
      <c r="K96">
        <f>IF(ISNUMBER($D96),($D96-$D$11)/1000000,"")</f>
        <v/>
      </c>
      <c r="L96">
        <f>IF($B96="LINEAR_ACCEL",SQRT($E96^2+$F96^2+$G96^2),"")</f>
        <v/>
      </c>
      <c r="M96">
        <f>IF($B96="GYRO",SQRT($E96^2+$F96^2+$G96^2),"")</f>
        <v/>
      </c>
      <c r="N96">
        <f>IF($B96="ROTATION_QUAT",SQRT($E96^2+$F96^2+$G96^2+$H96^2),"")</f>
        <v/>
      </c>
    </row>
    <row r="97">
      <c r="A97" t="inlineStr">
        <is>
          <t>2026-10-18T16:15:52.778-07:00</t>
        </is>
      </c>
      <c r="B97" t="inlineStr">
        <is>
          <t>LINEAR_ACCEL</t>
        </is>
      </c>
      <c r="C97" t="n">
        <v>384722780</v>
      </c>
      <c r="D97" t="n">
        <v>384708355</v>
      </c>
      <c r="E97" t="n">
        <v>0.00391</v>
      </c>
      <c r="F97" t="n">
        <v>0.00391</v>
      </c>
      <c r="G97" t="n">
        <v>0.00391</v>
      </c>
      <c r="I97" t="n">
        <v>3</v>
      </c>
      <c r="J97" t="inlineStr">
        <is>
          <t>I (384993) IMU: IMU|1|384722780|384708355|LINEAR_ACCEL|0.00391|0.00391|0.00391|3</t>
        </is>
      </c>
      <c r="K97">
        <f>IF(ISNUMBER($D97),($D97-$D$11)/1000000,"")</f>
        <v/>
      </c>
      <c r="L97">
        <f>IF($B97="LINEAR_ACCEL",SQRT($E97^2+$F97^2+$G97^2),"")</f>
        <v/>
      </c>
      <c r="M97">
        <f>IF($B97="GYRO",SQRT($E97^2+$F97^2+$G97^2),"")</f>
        <v/>
      </c>
      <c r="N97">
        <f>IF($B97="ROTATION_QUAT",SQRT($E97^2+$F97^2+$G97^2+$H97^2),"")</f>
        <v/>
      </c>
    </row>
    <row r="98">
      <c r="A98" t="inlineStr">
        <is>
          <t>2026-10-18T16:15:52.859-07:00</t>
        </is>
      </c>
      <c r="B98" t="inlineStr">
        <is>
          <t>GYRO</t>
        </is>
      </c>
      <c r="C98" t="n">
        <v>384811863</v>
      </c>
      <c r="D98" t="n">
        <v>384808172</v>
      </c>
      <c r="E98" t="n">
        <v>0.00195</v>
      </c>
      <c r="F98" t="n">
        <v>-0.00195</v>
      </c>
      <c r="G98" t="n">
        <v>0</v>
      </c>
      <c r="I98" t="n">
        <v>0</v>
      </c>
      <c r="J98" t="inlineStr">
        <is>
          <t>I (385083) IMU: IMU|1|384811863|384808172|GYRO|0.00195|-0.00195|0.00000|0</t>
        </is>
      </c>
      <c r="K98">
        <f>IF(ISNUMBER($D98),($D98-$D$11)/1000000,"")</f>
        <v/>
      </c>
      <c r="L98">
        <f>IF($B98="LINEAR_ACCEL",SQRT($E98^2+$F98^2+$G98^2),"")</f>
        <v/>
      </c>
      <c r="M98">
        <f>IF($B98="GYRO",SQRT($E98^2+$F98^2+$G98^2),"")</f>
        <v/>
      </c>
      <c r="N98">
        <f>IF($B98="ROTATION_QUAT",SQRT($E98^2+$F98^2+$G98^2+$H98^2),"")</f>
        <v/>
      </c>
    </row>
    <row r="99">
      <c r="A99" t="inlineStr">
        <is>
          <t>2026-10-18T16:15:52.874-07:00</t>
        </is>
      </c>
      <c r="B99" t="inlineStr">
        <is>
          <t>ROTATION_QUAT</t>
        </is>
      </c>
      <c r="C99" t="n">
        <v>384822268</v>
      </c>
      <c r="D99" t="n">
        <v>384808255</v>
      </c>
      <c r="E99" t="n">
        <v>0.017639</v>
      </c>
      <c r="F99" t="n">
        <v>-0.042297</v>
      </c>
      <c r="G99" t="n">
        <v>-0.406799</v>
      </c>
      <c r="H99" t="n">
        <v>0.912354</v>
      </c>
      <c r="I99" t="n">
        <v>0</v>
      </c>
      <c r="J99" t="inlineStr">
        <is>
          <t>I (385093) IMU: IMU|1|384822268|384808255|ROTATION_QUAT|0.017639|-0.042297|-0.406799|0.912354|0</t>
        </is>
      </c>
      <c r="K99">
        <f>IF(ISNUMBER($D99),($D99-$D$11)/1000000,"")</f>
        <v/>
      </c>
      <c r="L99">
        <f>IF($B99="LINEAR_ACCEL",SQRT($E99^2+$F99^2+$G99^2),"")</f>
        <v/>
      </c>
      <c r="M99">
        <f>IF($B99="GYRO",SQRT($E99^2+$F99^2+$G99^2),"")</f>
        <v/>
      </c>
      <c r="N99">
        <f>IF($B99="ROTATION_QUAT",SQRT($E99^2+$F99^2+$G99^2+$H99^2),"")</f>
        <v/>
      </c>
    </row>
    <row r="100">
      <c r="A100" t="inlineStr">
        <is>
          <t>2026-10-18T16:15:52.878-07:00</t>
        </is>
      </c>
      <c r="B100" t="inlineStr">
        <is>
          <t>LINEAR_ACCEL</t>
        </is>
      </c>
      <c r="C100" t="n">
        <v>384822835</v>
      </c>
      <c r="D100" t="n">
        <v>384808255</v>
      </c>
      <c r="E100" t="n">
        <v>0.00391</v>
      </c>
      <c r="F100" t="n">
        <v>0.00391</v>
      </c>
      <c r="G100" t="n">
        <v>0.00391</v>
      </c>
      <c r="I100" t="n">
        <v>3</v>
      </c>
      <c r="J100" t="inlineStr">
        <is>
          <t>I (385093) IMU: IMU|1|384822835|384808255|LINEAR_ACCEL|0.00391|0.00391|0.00391|3</t>
        </is>
      </c>
      <c r="K100">
        <f>IF(ISNUMBER($D100),($D100-$D$11)/1000000,"")</f>
        <v/>
      </c>
      <c r="L100">
        <f>IF($B100="LINEAR_ACCEL",SQRT($E100^2+$F100^2+$G100^2),"")</f>
        <v/>
      </c>
      <c r="M100">
        <f>IF($B100="GYRO",SQRT($E100^2+$F100^2+$G100^2),"")</f>
        <v/>
      </c>
      <c r="N100">
        <f>IF($B100="ROTATION_QUAT",SQRT($E100^2+$F100^2+$G100^2+$H100^2),"")</f>
        <v/>
      </c>
    </row>
    <row r="101">
      <c r="A101" t="inlineStr">
        <is>
          <t>2026-10-18T16:15:52.959-07:00</t>
        </is>
      </c>
      <c r="B101" t="inlineStr">
        <is>
          <t>GYRO</t>
        </is>
      </c>
      <c r="C101" t="n">
        <v>384911877</v>
      </c>
      <c r="D101" t="n">
        <v>384908172</v>
      </c>
      <c r="E101" t="n">
        <v>0</v>
      </c>
      <c r="F101" t="n">
        <v>0</v>
      </c>
      <c r="G101" t="n">
        <v>-0.00195</v>
      </c>
      <c r="I101" t="n">
        <v>0</v>
      </c>
      <c r="J101" t="inlineStr">
        <is>
          <t>I (385183) IMU: IMU|1|384911877|384908172|GYRO|0.00000|0.00000|-0.00195|0</t>
        </is>
      </c>
      <c r="K101">
        <f>IF(ISNUMBER($D101),($D101-$D$11)/1000000,"")</f>
        <v/>
      </c>
      <c r="L101">
        <f>IF($B101="LINEAR_ACCEL",SQRT($E101^2+$F101^2+$G101^2),"")</f>
        <v/>
      </c>
      <c r="M101">
        <f>IF($B101="GYRO",SQRT($E101^2+$F101^2+$G101^2),"")</f>
        <v/>
      </c>
      <c r="N101">
        <f>IF($B101="ROTATION_QUAT",SQRT($E101^2+$F101^2+$G101^2+$H101^2),"")</f>
        <v/>
      </c>
    </row>
    <row r="102">
      <c r="A102" t="inlineStr">
        <is>
          <t>2026-10-18T16:15:52.974-07:00</t>
        </is>
      </c>
      <c r="B102" t="inlineStr">
        <is>
          <t>ROTATION_QUAT</t>
        </is>
      </c>
      <c r="C102" t="n">
        <v>384922270</v>
      </c>
      <c r="D102" t="n">
        <v>384908355</v>
      </c>
      <c r="E102" t="n">
        <v>0.017639</v>
      </c>
      <c r="F102" t="n">
        <v>-0.042297</v>
      </c>
      <c r="G102" t="n">
        <v>-0.406799</v>
      </c>
      <c r="H102" t="n">
        <v>0.912354</v>
      </c>
      <c r="I102" t="n">
        <v>0</v>
      </c>
      <c r="J102" t="inlineStr">
        <is>
          <t>I (385193) IMU: IMU|1|384922270|384908355|ROTATION_QUAT|0.017639|-0.042297|-0.406799|0.912354|0</t>
        </is>
      </c>
      <c r="K102">
        <f>IF(ISNUMBER($D102),($D102-$D$11)/1000000,"")</f>
        <v/>
      </c>
      <c r="L102">
        <f>IF($B102="LINEAR_ACCEL",SQRT($E102^2+$F102^2+$G102^2),"")</f>
        <v/>
      </c>
      <c r="M102">
        <f>IF($B102="GYRO",SQRT($E102^2+$F102^2+$G102^2),"")</f>
        <v/>
      </c>
      <c r="N102">
        <f>IF($B102="ROTATION_QUAT",SQRT($E102^2+$F102^2+$G102^2+$H102^2),"")</f>
        <v/>
      </c>
    </row>
    <row r="103">
      <c r="A103" t="inlineStr">
        <is>
          <t>2026-10-18T16:15:52.978-07:00</t>
        </is>
      </c>
      <c r="B103" t="inlineStr">
        <is>
          <t>LINEAR_ACCEL</t>
        </is>
      </c>
      <c r="C103" t="n">
        <v>384922829</v>
      </c>
      <c r="D103" t="n">
        <v>384908355</v>
      </c>
      <c r="E103" t="n">
        <v>0.00391</v>
      </c>
      <c r="F103" t="n">
        <v>0.00391</v>
      </c>
      <c r="G103" t="n">
        <v>-0.00391</v>
      </c>
      <c r="I103" t="n">
        <v>3</v>
      </c>
      <c r="J103" t="inlineStr">
        <is>
          <t>I (385193) IMU: IMU|1|384922829|384908355|LINEAR_ACCEL|0.00391|0.00391|-0.00391|3</t>
        </is>
      </c>
      <c r="K103">
        <f>IF(ISNUMBER($D103),($D103-$D$11)/1000000,"")</f>
        <v/>
      </c>
      <c r="L103">
        <f>IF($B103="LINEAR_ACCEL",SQRT($E103^2+$F103^2+$G103^2),"")</f>
        <v/>
      </c>
      <c r="M103">
        <f>IF($B103="GYRO",SQRT($E103^2+$F103^2+$G103^2),"")</f>
        <v/>
      </c>
      <c r="N103">
        <f>IF($B103="ROTATION_QUAT",SQRT($E103^2+$F103^2+$G103^2+$H103^2),"")</f>
        <v/>
      </c>
    </row>
    <row r="104">
      <c r="A104" t="inlineStr">
        <is>
          <t>2026-10-18T16:15:53.058-07:00</t>
        </is>
      </c>
      <c r="B104" t="inlineStr">
        <is>
          <t>GYRO</t>
        </is>
      </c>
      <c r="C104" t="n">
        <v>385011314</v>
      </c>
      <c r="D104" t="n">
        <v>385008172</v>
      </c>
      <c r="E104" t="n">
        <v>0.00195</v>
      </c>
      <c r="F104" t="n">
        <v>0.00195</v>
      </c>
      <c r="G104" t="n">
        <v>0.00195</v>
      </c>
      <c r="I104" t="n">
        <v>0</v>
      </c>
      <c r="J104" t="inlineStr">
        <is>
          <t>I (385283) IMU: IMU|1|385011314|385008172|GYRO|0.00195|0.00195|0.00195|0</t>
        </is>
      </c>
      <c r="K104">
        <f>IF(ISNUMBER($D104),($D104-$D$11)/1000000,"")</f>
        <v/>
      </c>
      <c r="L104">
        <f>IF($B104="LINEAR_ACCEL",SQRT($E104^2+$F104^2+$G104^2),"")</f>
        <v/>
      </c>
      <c r="M104">
        <f>IF($B104="GYRO",SQRT($E104^2+$F104^2+$G104^2),"")</f>
        <v/>
      </c>
      <c r="N104">
        <f>IF($B104="ROTATION_QUAT",SQRT($E104^2+$F104^2+$G104^2+$H104^2),"")</f>
        <v/>
      </c>
    </row>
    <row r="105">
      <c r="A105" t="inlineStr">
        <is>
          <t>2026-10-18T16:15:53.073-07:00</t>
        </is>
      </c>
      <c r="B105" t="inlineStr">
        <is>
          <t>ROTATION_QUAT</t>
        </is>
      </c>
      <c r="C105" t="n">
        <v>385021739</v>
      </c>
      <c r="D105" t="n">
        <v>385008843</v>
      </c>
      <c r="E105" t="n">
        <v>0.017639</v>
      </c>
      <c r="F105" t="n">
        <v>-0.042297</v>
      </c>
      <c r="G105" t="n">
        <v>-0.406799</v>
      </c>
      <c r="H105" t="n">
        <v>0.912354</v>
      </c>
      <c r="I105" t="n">
        <v>0</v>
      </c>
      <c r="J105" t="inlineStr">
        <is>
          <t>I (385293) IMU: IMU|1|385021739|385008843|ROTATION_QUAT|0.017639|-0.042297|-0.406799|0.912354|0</t>
        </is>
      </c>
      <c r="K105">
        <f>IF(ISNUMBER($D105),($D105-$D$11)/1000000,"")</f>
        <v/>
      </c>
      <c r="L105">
        <f>IF($B105="LINEAR_ACCEL",SQRT($E105^2+$F105^2+$G105^2),"")</f>
        <v/>
      </c>
      <c r="M105">
        <f>IF($B105="GYRO",SQRT($E105^2+$F105^2+$G105^2),"")</f>
        <v/>
      </c>
      <c r="N105">
        <f>IF($B105="ROTATION_QUAT",SQRT($E105^2+$F105^2+$G105^2+$H105^2),"")</f>
        <v/>
      </c>
    </row>
    <row r="106">
      <c r="A106" t="inlineStr">
        <is>
          <t>2026-10-18T16:15:53.078-07:00</t>
        </is>
      </c>
      <c r="B106" t="inlineStr">
        <is>
          <t>LINEAR_ACCEL</t>
        </is>
      </c>
      <c r="C106" t="n">
        <v>385022298</v>
      </c>
      <c r="D106" t="n">
        <v>385008843</v>
      </c>
      <c r="E106" t="n">
        <v>0.00391</v>
      </c>
      <c r="F106" t="n">
        <v>0.00391</v>
      </c>
      <c r="G106" t="n">
        <v>-0.00391</v>
      </c>
      <c r="I106" t="n">
        <v>3</v>
      </c>
      <c r="J106" t="inlineStr">
        <is>
          <t>I (385293) IMU: IMU|1|385022298|385008843|LINEAR_ACCEL|0.00391|0.00391|-0.00391|3</t>
        </is>
      </c>
      <c r="K106">
        <f>IF(ISNUMBER($D106),($D106-$D$11)/1000000,"")</f>
        <v/>
      </c>
      <c r="L106">
        <f>IF($B106="LINEAR_ACCEL",SQRT($E106^2+$F106^2+$G106^2),"")</f>
        <v/>
      </c>
      <c r="M106">
        <f>IF($B106="GYRO",SQRT($E106^2+$F106^2+$G106^2),"")</f>
        <v/>
      </c>
      <c r="N106">
        <f>IF($B106="ROTATION_QUAT",SQRT($E106^2+$F106^2+$G106^2+$H106^2),"")</f>
        <v/>
      </c>
    </row>
    <row r="107">
      <c r="A107" t="inlineStr">
        <is>
          <t>2026-10-18T16:15:53.158-07:00</t>
        </is>
      </c>
      <c r="B107" t="inlineStr">
        <is>
          <t>GYRO</t>
        </is>
      </c>
      <c r="C107" t="n">
        <v>385111314</v>
      </c>
      <c r="D107" t="n">
        <v>385108172</v>
      </c>
      <c r="E107" t="n">
        <v>0</v>
      </c>
      <c r="F107" t="n">
        <v>0</v>
      </c>
      <c r="G107" t="n">
        <v>0.00195</v>
      </c>
      <c r="I107" t="n">
        <v>0</v>
      </c>
      <c r="J107" t="inlineStr">
        <is>
          <t>I (385383) IMU: IMU|1|385111314|385108172|GYRO|0.00000|0.00000|0.00195|0</t>
        </is>
      </c>
      <c r="K107">
        <f>IF(ISNUMBER($D107),($D107-$D$11)/1000000,"")</f>
        <v/>
      </c>
      <c r="L107">
        <f>IF($B107="LINEAR_ACCEL",SQRT($E107^2+$F107^2+$G107^2),"")</f>
        <v/>
      </c>
      <c r="M107">
        <f>IF($B107="GYRO",SQRT($E107^2+$F107^2+$G107^2),"")</f>
        <v/>
      </c>
      <c r="N107">
        <f>IF($B107="ROTATION_QUAT",SQRT($E107^2+$F107^2+$G107^2+$H107^2),"")</f>
        <v/>
      </c>
    </row>
    <row r="108">
      <c r="A108" t="inlineStr">
        <is>
          <t>2026-10-18T16:15:53.174-07:00</t>
        </is>
      </c>
      <c r="B108" t="inlineStr">
        <is>
          <t>ROTATION_QUAT</t>
        </is>
      </c>
      <c r="C108" t="n">
        <v>385122337</v>
      </c>
      <c r="D108" t="n">
        <v>385108855</v>
      </c>
      <c r="E108" t="n">
        <v>0.017639</v>
      </c>
      <c r="F108" t="n">
        <v>-0.042297</v>
      </c>
      <c r="G108" t="n">
        <v>-0.406799</v>
      </c>
      <c r="H108" t="n">
        <v>0.912354</v>
      </c>
      <c r="I108" t="n">
        <v>0</v>
      </c>
      <c r="J108" t="inlineStr">
        <is>
          <t>I (385393) IMU: IMU|1|385122337|385108855|ROTATION_QUAT|0.017639|-0.042297|-0.406799|0.912354|0</t>
        </is>
      </c>
      <c r="K108">
        <f>IF(ISNUMBER($D108),($D108-$D$11)/1000000,"")</f>
        <v/>
      </c>
      <c r="L108">
        <f>IF($B108="LINEAR_ACCEL",SQRT($E108^2+$F108^2+$G108^2),"")</f>
        <v/>
      </c>
      <c r="M108">
        <f>IF($B108="GYRO",SQRT($E108^2+$F108^2+$G108^2),"")</f>
        <v/>
      </c>
      <c r="N108">
        <f>IF($B108="ROTATION_QUAT",SQRT($E108^2+$F108^2+$G108^2+$H108^2),"")</f>
        <v/>
      </c>
    </row>
    <row r="109">
      <c r="A109" t="inlineStr">
        <is>
          <t>2026-10-18T16:15:53.178-07:00</t>
        </is>
      </c>
      <c r="B109" t="inlineStr">
        <is>
          <t>LINEAR_ACCEL</t>
        </is>
      </c>
      <c r="C109" t="n">
        <v>385122896</v>
      </c>
      <c r="D109" t="n">
        <v>385108855</v>
      </c>
      <c r="E109" t="n">
        <v>0.00391</v>
      </c>
      <c r="F109" t="n">
        <v>0.00391</v>
      </c>
      <c r="G109" t="n">
        <v>-0.00391</v>
      </c>
      <c r="I109" t="n">
        <v>3</v>
      </c>
      <c r="J109" t="inlineStr">
        <is>
          <t>I (385393) IMU: IMU|1|385122896|385108855|LINEAR_ACCEL|0.00391|0.00391|-0.00391|3</t>
        </is>
      </c>
      <c r="K109">
        <f>IF(ISNUMBER($D109),($D109-$D$11)/1000000,"")</f>
        <v/>
      </c>
      <c r="L109">
        <f>IF($B109="LINEAR_ACCEL",SQRT($E109^2+$F109^2+$G109^2),"")</f>
        <v/>
      </c>
      <c r="M109">
        <f>IF($B109="GYRO",SQRT($E109^2+$F109^2+$G109^2),"")</f>
        <v/>
      </c>
      <c r="N109">
        <f>IF($B109="ROTATION_QUAT",SQRT($E109^2+$F109^2+$G109^2+$H109^2),"")</f>
        <v/>
      </c>
    </row>
    <row r="110">
      <c r="A110" t="inlineStr">
        <is>
          <t>2026-10-18T16:15:53.258-07:00</t>
        </is>
      </c>
      <c r="B110" t="inlineStr">
        <is>
          <t>GYRO</t>
        </is>
      </c>
      <c r="C110" t="n">
        <v>385211322</v>
      </c>
      <c r="D110" t="n">
        <v>385208172</v>
      </c>
      <c r="E110" t="n">
        <v>-0.00391</v>
      </c>
      <c r="F110" t="n">
        <v>0</v>
      </c>
      <c r="G110" t="n">
        <v>0</v>
      </c>
      <c r="I110" t="n">
        <v>0</v>
      </c>
      <c r="J110" t="inlineStr">
        <is>
          <t>I (385483) IMU: IMU|1|385211322|385208172|GYRO|-0.00391|0.00000|0.00000|0</t>
        </is>
      </c>
      <c r="K110">
        <f>IF(ISNUMBER($D110),($D110-$D$11)/1000000,"")</f>
        <v/>
      </c>
      <c r="L110">
        <f>IF($B110="LINEAR_ACCEL",SQRT($E110^2+$F110^2+$G110^2),"")</f>
        <v/>
      </c>
      <c r="M110">
        <f>IF($B110="GYRO",SQRT($E110^2+$F110^2+$G110^2),"")</f>
        <v/>
      </c>
      <c r="N110">
        <f>IF($B110="ROTATION_QUAT",SQRT($E110^2+$F110^2+$G110^2+$H110^2),"")</f>
        <v/>
      </c>
    </row>
    <row r="111">
      <c r="A111" t="inlineStr">
        <is>
          <t>2026-10-18T16:15:53.274-07:00</t>
        </is>
      </c>
      <c r="B111" t="inlineStr">
        <is>
          <t>ROTATION_QUAT</t>
        </is>
      </c>
      <c r="C111" t="n">
        <v>385222340</v>
      </c>
      <c r="D111" t="n">
        <v>385208855</v>
      </c>
      <c r="E111" t="n">
        <v>0.0177</v>
      </c>
      <c r="F111" t="n">
        <v>-0.042297</v>
      </c>
      <c r="G111" t="n">
        <v>-0.406799</v>
      </c>
      <c r="H111" t="n">
        <v>0.912354</v>
      </c>
      <c r="I111" t="n">
        <v>0</v>
      </c>
      <c r="J111" t="inlineStr">
        <is>
          <t>I (385493) IMU: IMU|1|385222340|385208855|ROTATION_QUAT|0.017700|-0.042297|-0.406799|0.912354|0</t>
        </is>
      </c>
      <c r="K111">
        <f>IF(ISNUMBER($D111),($D111-$D$11)/1000000,"")</f>
        <v/>
      </c>
      <c r="L111">
        <f>IF($B111="LINEAR_ACCEL",SQRT($E111^2+$F111^2+$G111^2),"")</f>
        <v/>
      </c>
      <c r="M111">
        <f>IF($B111="GYRO",SQRT($E111^2+$F111^2+$G111^2),"")</f>
        <v/>
      </c>
      <c r="N111">
        <f>IF($B111="ROTATION_QUAT",SQRT($E111^2+$F111^2+$G111^2+$H111^2),"")</f>
        <v/>
      </c>
    </row>
    <row r="112">
      <c r="A112" t="inlineStr">
        <is>
          <t>2026-10-18T16:15:53.278-07:00</t>
        </is>
      </c>
      <c r="B112" t="inlineStr">
        <is>
          <t>LINEAR_ACCEL</t>
        </is>
      </c>
      <c r="C112" t="n">
        <v>385222907</v>
      </c>
      <c r="D112" t="n">
        <v>385208855</v>
      </c>
      <c r="E112" t="n">
        <v>0.00391</v>
      </c>
      <c r="F112" t="n">
        <v>0.00391</v>
      </c>
      <c r="G112" t="n">
        <v>-0.00391</v>
      </c>
      <c r="I112" t="n">
        <v>3</v>
      </c>
      <c r="J112" t="inlineStr">
        <is>
          <t>I (385493) IMU: IMU|1|385222907|385208855|LINEAR_ACCEL|0.00391|0.00391|-0.00391|3</t>
        </is>
      </c>
      <c r="K112">
        <f>IF(ISNUMBER($D112),($D112-$D$11)/1000000,"")</f>
        <v/>
      </c>
      <c r="L112">
        <f>IF($B112="LINEAR_ACCEL",SQRT($E112^2+$F112^2+$G112^2),"")</f>
        <v/>
      </c>
      <c r="M112">
        <f>IF($B112="GYRO",SQRT($E112^2+$F112^2+$G112^2),"")</f>
        <v/>
      </c>
      <c r="N112">
        <f>IF($B112="ROTATION_QUAT",SQRT($E112^2+$F112^2+$G112^2+$H112^2),"")</f>
        <v/>
      </c>
    </row>
    <row r="113">
      <c r="A113" t="inlineStr">
        <is>
          <t>2026-10-18T16:15:53.388-07:00</t>
        </is>
      </c>
      <c r="B113" t="inlineStr">
        <is>
          <t>GYRO</t>
        </is>
      </c>
      <c r="C113" t="n">
        <v>385327803</v>
      </c>
      <c r="D113" t="n">
        <v>385308183</v>
      </c>
      <c r="E113" t="n">
        <v>0</v>
      </c>
      <c r="F113" t="n">
        <v>0</v>
      </c>
      <c r="G113" t="n">
        <v>-0.00195</v>
      </c>
      <c r="I113" t="n">
        <v>0</v>
      </c>
      <c r="J113" t="inlineStr">
        <is>
          <t>I (385593) IMU: IMU|1|385327803|385308183|GYRO|0.00000|0.00000|-0.00195|0</t>
        </is>
      </c>
      <c r="K113">
        <f>IF(ISNUMBER($D113),($D113-$D$11)/1000000,"")</f>
        <v/>
      </c>
      <c r="L113">
        <f>IF($B113="LINEAR_ACCEL",SQRT($E113^2+$F113^2+$G113^2),"")</f>
        <v/>
      </c>
      <c r="M113">
        <f>IF($B113="GYRO",SQRT($E113^2+$F113^2+$G113^2),"")</f>
        <v/>
      </c>
      <c r="N113">
        <f>IF($B113="ROTATION_QUAT",SQRT($E113^2+$F113^2+$G113^2+$H113^2),"")</f>
        <v/>
      </c>
    </row>
    <row r="114">
      <c r="A114" t="inlineStr">
        <is>
          <t>2026-10-18T16:15:53.393-07:00</t>
        </is>
      </c>
      <c r="B114" t="inlineStr">
        <is>
          <t>ROTATION_QUAT</t>
        </is>
      </c>
      <c r="C114" t="n">
        <v>385341813</v>
      </c>
      <c r="D114" t="n">
        <v>385312571</v>
      </c>
      <c r="E114" t="n">
        <v>0.0177</v>
      </c>
      <c r="F114" t="n">
        <v>-0.042297</v>
      </c>
      <c r="G114" t="n">
        <v>-0.406799</v>
      </c>
      <c r="H114" t="n">
        <v>0.912354</v>
      </c>
      <c r="I114" t="n">
        <v>0</v>
      </c>
      <c r="J114" t="inlineStr">
        <is>
          <t>I (385613) IMU: IMU|1|385341813|385312571|ROTATION_QUAT|0.017700|-0.042297|-0.406799|0.912354|0</t>
        </is>
      </c>
      <c r="K114">
        <f>IF(ISNUMBER($D114),($D114-$D$11)/1000000,"")</f>
        <v/>
      </c>
      <c r="L114">
        <f>IF($B114="LINEAR_ACCEL",SQRT($E114^2+$F114^2+$G114^2),"")</f>
        <v/>
      </c>
      <c r="M114">
        <f>IF($B114="GYRO",SQRT($E114^2+$F114^2+$G114^2),"")</f>
        <v/>
      </c>
      <c r="N114">
        <f>IF($B114="ROTATION_QUAT",SQRT($E114^2+$F114^2+$G114^2+$H114^2),"")</f>
        <v/>
      </c>
    </row>
    <row r="115">
      <c r="A115" t="inlineStr">
        <is>
          <t>2026-10-18T16:15:53.399-07:00</t>
        </is>
      </c>
      <c r="B115" t="inlineStr">
        <is>
          <t>LINEAR_ACCEL</t>
        </is>
      </c>
      <c r="C115" t="n">
        <v>385342396</v>
      </c>
      <c r="D115" t="n">
        <v>385312571</v>
      </c>
      <c r="E115" t="n">
        <v>0.00391</v>
      </c>
      <c r="F115" t="n">
        <v>0.00391</v>
      </c>
      <c r="G115" t="n">
        <v>-0.00391</v>
      </c>
      <c r="I115" t="n">
        <v>3</v>
      </c>
      <c r="J115" t="inlineStr">
        <is>
          <t>I (385613) IMU: IMU|1|385342396|385312571|LINEAR_ACCEL|0.00391|0.00391|-0.00391|3</t>
        </is>
      </c>
      <c r="K115">
        <f>IF(ISNUMBER($D115),($D115-$D$11)/1000000,"")</f>
        <v/>
      </c>
      <c r="L115">
        <f>IF($B115="LINEAR_ACCEL",SQRT($E115^2+$F115^2+$G115^2),"")</f>
        <v/>
      </c>
      <c r="M115">
        <f>IF($B115="GYRO",SQRT($E115^2+$F115^2+$G115^2),"")</f>
        <v/>
      </c>
      <c r="N115">
        <f>IF($B115="ROTATION_QUAT",SQRT($E115^2+$F115^2+$G115^2+$H115^2),"")</f>
        <v/>
      </c>
    </row>
    <row r="116">
      <c r="A116" t="inlineStr">
        <is>
          <t>2026-10-18T16:15:53.458-07:00</t>
        </is>
      </c>
      <c r="B116" t="inlineStr">
        <is>
          <t>GYRO</t>
        </is>
      </c>
      <c r="C116" t="n">
        <v>385411322</v>
      </c>
      <c r="D116" t="n">
        <v>385408172</v>
      </c>
      <c r="E116" t="n">
        <v>0</v>
      </c>
      <c r="F116" t="n">
        <v>-0.00195</v>
      </c>
      <c r="G116" t="n">
        <v>0</v>
      </c>
      <c r="I116" t="n">
        <v>0</v>
      </c>
      <c r="J116" t="inlineStr">
        <is>
          <t>I (385683) IMU: IMU|1|385411322|385408172|GYRO|0.00000|-0.00195|0.00000|0</t>
        </is>
      </c>
      <c r="K116">
        <f>IF(ISNUMBER($D116),($D116-$D$11)/1000000,"")</f>
        <v/>
      </c>
      <c r="L116">
        <f>IF($B116="LINEAR_ACCEL",SQRT($E116^2+$F116^2+$G116^2),"")</f>
        <v/>
      </c>
      <c r="M116">
        <f>IF($B116="GYRO",SQRT($E116^2+$F116^2+$G116^2),"")</f>
        <v/>
      </c>
      <c r="N116">
        <f>IF($B116="ROTATION_QUAT",SQRT($E116^2+$F116^2+$G116^2+$H116^2),"")</f>
        <v/>
      </c>
    </row>
    <row r="117">
      <c r="A117" t="inlineStr">
        <is>
          <t>2026-10-18T16:15:53.473-07:00</t>
        </is>
      </c>
      <c r="B117" t="inlineStr">
        <is>
          <t>ROTATION_QUAT</t>
        </is>
      </c>
      <c r="C117" t="n">
        <v>385421774</v>
      </c>
      <c r="D117" t="n">
        <v>385408855</v>
      </c>
      <c r="E117" t="n">
        <v>0.017639</v>
      </c>
      <c r="F117" t="n">
        <v>-0.042236</v>
      </c>
      <c r="G117" t="n">
        <v>-0.40686</v>
      </c>
      <c r="H117" t="n">
        <v>0.912354</v>
      </c>
      <c r="I117" t="n">
        <v>0</v>
      </c>
      <c r="J117" t="inlineStr">
        <is>
          <t>I (385693) IMU: IMU|1|385421774|385408855|ROTATION_QUAT|0.017639|-0.042236|-0.406860|0.912354|0</t>
        </is>
      </c>
      <c r="K117">
        <f>IF(ISNUMBER($D117),($D117-$D$11)/1000000,"")</f>
        <v/>
      </c>
      <c r="L117">
        <f>IF($B117="LINEAR_ACCEL",SQRT($E117^2+$F117^2+$G117^2),"")</f>
        <v/>
      </c>
      <c r="M117">
        <f>IF($B117="GYRO",SQRT($E117^2+$F117^2+$G117^2),"")</f>
        <v/>
      </c>
      <c r="N117">
        <f>IF($B117="ROTATION_QUAT",SQRT($E117^2+$F117^2+$G117^2+$H117^2),"")</f>
        <v/>
      </c>
    </row>
    <row r="118">
      <c r="A118" t="inlineStr">
        <is>
          <t>2026-10-18T16:15:53.478-07:00</t>
        </is>
      </c>
      <c r="B118" t="inlineStr">
        <is>
          <t>LINEAR_ACCEL</t>
        </is>
      </c>
      <c r="C118" t="n">
        <v>385422341</v>
      </c>
      <c r="D118" t="n">
        <v>385408855</v>
      </c>
      <c r="E118" t="n">
        <v>0.00391</v>
      </c>
      <c r="F118" t="n">
        <v>0.00391</v>
      </c>
      <c r="G118" t="n">
        <v>-0.00391</v>
      </c>
      <c r="I118" t="n">
        <v>3</v>
      </c>
      <c r="J118" t="inlineStr">
        <is>
          <t>I (385693) IMU: IMU|1|385422341|385408855|LINEAR_ACCEL|0.00391|0.00391|-0.00391|3</t>
        </is>
      </c>
      <c r="K118">
        <f>IF(ISNUMBER($D118),($D118-$D$11)/1000000,"")</f>
        <v/>
      </c>
      <c r="L118">
        <f>IF($B118="LINEAR_ACCEL",SQRT($E118^2+$F118^2+$G118^2),"")</f>
        <v/>
      </c>
      <c r="M118">
        <f>IF($B118="GYRO",SQRT($E118^2+$F118^2+$G118^2),"")</f>
        <v/>
      </c>
      <c r="N118">
        <f>IF($B118="ROTATION_QUAT",SQRT($E118^2+$F118^2+$G118^2+$H118^2),"")</f>
        <v/>
      </c>
    </row>
    <row r="119">
      <c r="A119" t="inlineStr">
        <is>
          <t>2026-10-18T16:15:53.558-07:00</t>
        </is>
      </c>
      <c r="B119" t="inlineStr">
        <is>
          <t>GYRO</t>
        </is>
      </c>
      <c r="C119" t="n">
        <v>385511342</v>
      </c>
      <c r="D119" t="n">
        <v>385508172</v>
      </c>
      <c r="E119" t="n">
        <v>-0.00586</v>
      </c>
      <c r="F119" t="n">
        <v>0</v>
      </c>
      <c r="G119" t="n">
        <v>-0.00195</v>
      </c>
      <c r="I119" t="n">
        <v>0</v>
      </c>
      <c r="J119" t="inlineStr">
        <is>
          <t>I (385783) IMU: IMU|1|385511342|385508172|GYRO|-0.00586|0.00000|-0.00195|0</t>
        </is>
      </c>
      <c r="K119">
        <f>IF(ISNUMBER($D119),($D119-$D$11)/1000000,"")</f>
        <v/>
      </c>
      <c r="L119">
        <f>IF($B119="LINEAR_ACCEL",SQRT($E119^2+$F119^2+$G119^2),"")</f>
        <v/>
      </c>
      <c r="M119">
        <f>IF($B119="GYRO",SQRT($E119^2+$F119^2+$G119^2),"")</f>
        <v/>
      </c>
      <c r="N119">
        <f>IF($B119="ROTATION_QUAT",SQRT($E119^2+$F119^2+$G119^2+$H119^2),"")</f>
        <v/>
      </c>
    </row>
    <row r="120">
      <c r="A120" t="inlineStr">
        <is>
          <t>2026-10-18T16:15:53.573-07:00</t>
        </is>
      </c>
      <c r="B120" t="inlineStr">
        <is>
          <t>ROTATION_QUAT</t>
        </is>
      </c>
      <c r="C120" t="n">
        <v>385521779</v>
      </c>
      <c r="D120" t="n">
        <v>385508955</v>
      </c>
      <c r="E120" t="n">
        <v>0.0177</v>
      </c>
      <c r="F120" t="n">
        <v>-0.042297</v>
      </c>
      <c r="G120" t="n">
        <v>-0.40686</v>
      </c>
      <c r="H120" t="n">
        <v>0.912354</v>
      </c>
      <c r="I120" t="n">
        <v>0</v>
      </c>
      <c r="J120" t="inlineStr">
        <is>
          <t>I (385793) IMU: IMU|1|385521779|385508955|ROTATION_QUAT|0.017700|-0.042297|-0.406860|0.912354|0</t>
        </is>
      </c>
      <c r="K120">
        <f>IF(ISNUMBER($D120),($D120-$D$11)/1000000,"")</f>
        <v/>
      </c>
      <c r="L120">
        <f>IF($B120="LINEAR_ACCEL",SQRT($E120^2+$F120^2+$G120^2),"")</f>
        <v/>
      </c>
      <c r="M120">
        <f>IF($B120="GYRO",SQRT($E120^2+$F120^2+$G120^2),"")</f>
        <v/>
      </c>
      <c r="N120">
        <f>IF($B120="ROTATION_QUAT",SQRT($E120^2+$F120^2+$G120^2+$H120^2),"")</f>
        <v/>
      </c>
    </row>
    <row r="121">
      <c r="A121" t="inlineStr">
        <is>
          <t>2026-10-18T16:15:53.578-07:00</t>
        </is>
      </c>
      <c r="B121" t="inlineStr">
        <is>
          <t>LINEAR_ACCEL</t>
        </is>
      </c>
      <c r="C121" t="n">
        <v>385522346</v>
      </c>
      <c r="D121" t="n">
        <v>385508955</v>
      </c>
      <c r="E121" t="n">
        <v>0.00391</v>
      </c>
      <c r="F121" t="n">
        <v>0.00391</v>
      </c>
      <c r="G121" t="n">
        <v>-0.00391</v>
      </c>
      <c r="I121" t="n">
        <v>3</v>
      </c>
      <c r="J121" t="inlineStr">
        <is>
          <t>I (385793) IMU: IMU|1|385522346|385508955|LINEAR_ACCEL|0.00391|0.00391|-0.00391|3</t>
        </is>
      </c>
      <c r="K121">
        <f>IF(ISNUMBER($D121),($D121-$D$11)/1000000,"")</f>
        <v/>
      </c>
      <c r="L121">
        <f>IF($B121="LINEAR_ACCEL",SQRT($E121^2+$F121^2+$G121^2),"")</f>
        <v/>
      </c>
      <c r="M121">
        <f>IF($B121="GYRO",SQRT($E121^2+$F121^2+$G121^2),"")</f>
        <v/>
      </c>
      <c r="N121">
        <f>IF($B121="ROTATION_QUAT",SQRT($E121^2+$F121^2+$G121^2+$H121^2),"")</f>
        <v/>
      </c>
    </row>
    <row r="122">
      <c r="A122" t="inlineStr">
        <is>
          <t>2026-10-18T16:15:53.658-07:00</t>
        </is>
      </c>
      <c r="B122" t="inlineStr">
        <is>
          <t>GYRO</t>
        </is>
      </c>
      <c r="C122" t="n">
        <v>385611346</v>
      </c>
      <c r="D122" t="n">
        <v>385608172</v>
      </c>
      <c r="E122" t="n">
        <v>0</v>
      </c>
      <c r="F122" t="n">
        <v>0</v>
      </c>
      <c r="G122" t="n">
        <v>0</v>
      </c>
      <c r="I122" t="n">
        <v>0</v>
      </c>
      <c r="J122" t="inlineStr">
        <is>
          <t>I (385883) IMU: IMU|1|385611346|385608172|GYRO|0.00000|0.00000|0.00000|0</t>
        </is>
      </c>
      <c r="K122">
        <f>IF(ISNUMBER($D122),($D122-$D$11)/1000000,"")</f>
        <v/>
      </c>
      <c r="L122">
        <f>IF($B122="LINEAR_ACCEL",SQRT($E122^2+$F122^2+$G122^2),"")</f>
        <v/>
      </c>
      <c r="M122">
        <f>IF($B122="GYRO",SQRT($E122^2+$F122^2+$G122^2),"")</f>
        <v/>
      </c>
      <c r="N122">
        <f>IF($B122="ROTATION_QUAT",SQRT($E122^2+$F122^2+$G122^2+$H122^2),"")</f>
        <v/>
      </c>
    </row>
    <row r="123">
      <c r="A123" t="inlineStr">
        <is>
          <t>2026-10-18T16:15:53.673-07:00</t>
        </is>
      </c>
      <c r="B123" t="inlineStr">
        <is>
          <t>ROTATION_QUAT</t>
        </is>
      </c>
      <c r="C123" t="n">
        <v>385621757</v>
      </c>
      <c r="D123" t="n">
        <v>385608831</v>
      </c>
      <c r="E123" t="n">
        <v>0.017639</v>
      </c>
      <c r="F123" t="n">
        <v>-0.042236</v>
      </c>
      <c r="G123" t="n">
        <v>-0.40686</v>
      </c>
      <c r="H123" t="n">
        <v>0.912354</v>
      </c>
      <c r="I123" t="n">
        <v>0</v>
      </c>
      <c r="J123" t="inlineStr">
        <is>
          <t>I (385893) IMU: IMU|1|385621757|385608831|ROTATION_QUAT|0.017639|-0.042236|-0.406860|0.912354|0</t>
        </is>
      </c>
      <c r="K123">
        <f>IF(ISNUMBER($D123),($D123-$D$11)/1000000,"")</f>
        <v/>
      </c>
      <c r="L123">
        <f>IF($B123="LINEAR_ACCEL",SQRT($E123^2+$F123^2+$G123^2),"")</f>
        <v/>
      </c>
      <c r="M123">
        <f>IF($B123="GYRO",SQRT($E123^2+$F123^2+$G123^2),"")</f>
        <v/>
      </c>
      <c r="N123">
        <f>IF($B123="ROTATION_QUAT",SQRT($E123^2+$F123^2+$G123^2+$H123^2),"")</f>
        <v/>
      </c>
    </row>
    <row r="124">
      <c r="A124" t="inlineStr">
        <is>
          <t>2026-10-18T16:15:53.678-07:00</t>
        </is>
      </c>
      <c r="B124" t="inlineStr">
        <is>
          <t>LINEAR_ACCEL</t>
        </is>
      </c>
      <c r="C124" t="n">
        <v>385622332</v>
      </c>
      <c r="D124" t="n">
        <v>385608831</v>
      </c>
      <c r="E124" t="n">
        <v>0.00391</v>
      </c>
      <c r="F124" t="n">
        <v>0.00391</v>
      </c>
      <c r="G124" t="n">
        <v>-0.00391</v>
      </c>
      <c r="I124" t="n">
        <v>3</v>
      </c>
      <c r="J124" t="inlineStr">
        <is>
          <t>I (385893) IMU: IMU|1|385622332|385608831|LINEAR_ACCEL|0.00391|0.00391|-0.00391|3</t>
        </is>
      </c>
      <c r="K124">
        <f>IF(ISNUMBER($D124),($D124-$D$11)/1000000,"")</f>
        <v/>
      </c>
      <c r="L124">
        <f>IF($B124="LINEAR_ACCEL",SQRT($E124^2+$F124^2+$G124^2),"")</f>
        <v/>
      </c>
      <c r="M124">
        <f>IF($B124="GYRO",SQRT($E124^2+$F124^2+$G124^2),"")</f>
        <v/>
      </c>
      <c r="N124">
        <f>IF($B124="ROTATION_QUAT",SQRT($E124^2+$F124^2+$G124^2+$H124^2),"")</f>
        <v/>
      </c>
    </row>
    <row r="125">
      <c r="A125" t="inlineStr">
        <is>
          <t>2026-10-18T16:15:53.758-07:00</t>
        </is>
      </c>
      <c r="B125" t="inlineStr">
        <is>
          <t>GYRO</t>
        </is>
      </c>
      <c r="C125" t="n">
        <v>385711346</v>
      </c>
      <c r="D125" t="n">
        <v>385707972</v>
      </c>
      <c r="E125" t="n">
        <v>0</v>
      </c>
      <c r="F125" t="n">
        <v>0</v>
      </c>
      <c r="G125" t="n">
        <v>0</v>
      </c>
      <c r="I125" t="n">
        <v>0</v>
      </c>
      <c r="J125" t="inlineStr">
        <is>
          <t>I (385983) IMU: IMU|1|385711346|385707972|GYRO|0.00000|0.00000|0.00000|0</t>
        </is>
      </c>
      <c r="K125">
        <f>IF(ISNUMBER($D125),($D125-$D$11)/1000000,"")</f>
        <v/>
      </c>
      <c r="L125">
        <f>IF($B125="LINEAR_ACCEL",SQRT($E125^2+$F125^2+$G125^2),"")</f>
        <v/>
      </c>
      <c r="M125">
        <f>IF($B125="GYRO",SQRT($E125^2+$F125^2+$G125^2),"")</f>
        <v/>
      </c>
      <c r="N125">
        <f>IF($B125="ROTATION_QUAT",SQRT($E125^2+$F125^2+$G125^2+$H125^2),"")</f>
        <v/>
      </c>
    </row>
    <row r="126">
      <c r="A126" t="inlineStr">
        <is>
          <t>2026-10-18T16:15:53.773-07:00</t>
        </is>
      </c>
      <c r="B126" t="inlineStr">
        <is>
          <t>ROTATION_QUAT</t>
        </is>
      </c>
      <c r="C126" t="n">
        <v>385721767</v>
      </c>
      <c r="D126" t="n">
        <v>385708831</v>
      </c>
      <c r="E126" t="n">
        <v>0.017639</v>
      </c>
      <c r="F126" t="n">
        <v>-0.042236</v>
      </c>
      <c r="G126" t="n">
        <v>-0.40686</v>
      </c>
      <c r="H126" t="n">
        <v>0.912354</v>
      </c>
      <c r="I126" t="n">
        <v>0</v>
      </c>
      <c r="J126" t="inlineStr">
        <is>
          <t>I (385993) IMU: IMU|1|385721767|385708831|ROTATION_QUAT|0.017639|-0.042236|-0.406860|0.912354|0</t>
        </is>
      </c>
      <c r="K126">
        <f>IF(ISNUMBER($D126),($D126-$D$11)/1000000,"")</f>
        <v/>
      </c>
      <c r="L126">
        <f>IF($B126="LINEAR_ACCEL",SQRT($E126^2+$F126^2+$G126^2),"")</f>
        <v/>
      </c>
      <c r="M126">
        <f>IF($B126="GYRO",SQRT($E126^2+$F126^2+$G126^2),"")</f>
        <v/>
      </c>
      <c r="N126">
        <f>IF($B126="ROTATION_QUAT",SQRT($E126^2+$F126^2+$G126^2+$H126^2),"")</f>
        <v/>
      </c>
    </row>
    <row r="127">
      <c r="A127" t="inlineStr">
        <is>
          <t>2026-10-18T16:15:53.778-07:00</t>
        </is>
      </c>
      <c r="B127" t="inlineStr">
        <is>
          <t>LINEAR_ACCEL</t>
        </is>
      </c>
      <c r="C127" t="n">
        <v>385722342</v>
      </c>
      <c r="D127" t="n">
        <v>385708831</v>
      </c>
      <c r="E127" t="n">
        <v>0.00391</v>
      </c>
      <c r="F127" t="n">
        <v>0.00391</v>
      </c>
      <c r="G127" t="n">
        <v>-0.00391</v>
      </c>
      <c r="I127" t="n">
        <v>3</v>
      </c>
      <c r="J127" t="inlineStr">
        <is>
          <t>I (385993) IMU: IMU|1|385722342|385708831|LINEAR_ACCEL|0.00391|0.00391|-0.00391|3</t>
        </is>
      </c>
      <c r="K127">
        <f>IF(ISNUMBER($D127),($D127-$D$11)/1000000,"")</f>
        <v/>
      </c>
      <c r="L127">
        <f>IF($B127="LINEAR_ACCEL",SQRT($E127^2+$F127^2+$G127^2),"")</f>
        <v/>
      </c>
      <c r="M127">
        <f>IF($B127="GYRO",SQRT($E127^2+$F127^2+$G127^2),"")</f>
        <v/>
      </c>
      <c r="N127">
        <f>IF($B127="ROTATION_QUAT",SQRT($E127^2+$F127^2+$G127^2+$H127^2),"")</f>
        <v/>
      </c>
    </row>
  </sheetData>
  <autoFilter ref="A10:N127"/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5" t="inlineStr">
        <is>
          <t>Eventos — prueba_03_ventana_00.xlsx</t>
        </is>
      </c>
    </row>
    <row r="3">
      <c r="A3" t="inlineStr">
        <is>
          <t>Registros de evento</t>
        </is>
      </c>
      <c r="B3">
        <f>0</f>
        <v/>
      </c>
    </row>
    <row r="10">
      <c r="A10" s="3" t="inlineStr">
        <is>
          <t>hora_pc</t>
        </is>
      </c>
      <c r="B10" s="3" t="inlineStr">
        <is>
          <t>linea_serial</t>
        </is>
      </c>
    </row>
  </sheetData>
  <autoFilter ref="A10:B10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2026-10-19T00:08:40Z</dcterms:created>
  <dcterms:modified xsi:type="dcterms:W3CDTF">2026-10-19T00:08:40Z</dcterms:modified>
</cp:coreProperties>
</file>